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3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Xavier/MAMP/htdocs/Runners-Laravel/database/"/>
    </mc:Choice>
  </mc:AlternateContent>
  <bookViews>
    <workbookView xWindow="-4540" yWindow="-21140" windowWidth="38400" windowHeight="21140"/>
  </bookViews>
  <sheets>
    <sheet name="Courses individ" sheetId="1" r:id="rId1"/>
    <sheet name="Préparation" sheetId="2" r:id="rId2"/>
  </sheets>
  <definedNames>
    <definedName name="_xlnm._FilterDatabase" localSheetId="0" hidden="1">'Courses individ'!$A$1:$V$367</definedName>
    <definedName name="_xlnm.Print_Titles" localSheetId="0">'Courses individ'!$1:$1</definedName>
    <definedName name="_xlnm.Print_Area" localSheetId="0">'Courses individ'!$A$1:$V$11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A3" i="2"/>
  <c r="B3" i="2"/>
  <c r="C3" i="2"/>
  <c r="D3" i="2"/>
  <c r="E3" i="2"/>
  <c r="F3" i="2"/>
  <c r="A4" i="2"/>
  <c r="B4" i="2"/>
  <c r="C4" i="2"/>
  <c r="D4" i="2"/>
  <c r="E4" i="2"/>
  <c r="F4" i="2"/>
  <c r="A5" i="2"/>
  <c r="B5" i="2"/>
  <c r="C5" i="2"/>
  <c r="D5" i="2"/>
  <c r="E5" i="2"/>
  <c r="F5" i="2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F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V16" i="1"/>
  <c r="K16" i="1"/>
  <c r="J16" i="1"/>
  <c r="D16" i="1"/>
  <c r="V15" i="1"/>
  <c r="K15" i="1"/>
  <c r="J15" i="1"/>
  <c r="D15" i="1"/>
  <c r="V14" i="1"/>
  <c r="K14" i="1"/>
  <c r="J14" i="1"/>
  <c r="D14" i="1"/>
  <c r="V13" i="1"/>
  <c r="K13" i="1"/>
  <c r="J13" i="1"/>
  <c r="D13" i="1"/>
  <c r="V12" i="1"/>
  <c r="K12" i="1"/>
  <c r="J12" i="1"/>
  <c r="D12" i="1"/>
  <c r="F1" i="2"/>
  <c r="E1" i="2"/>
  <c r="D1" i="2"/>
  <c r="C1" i="2"/>
  <c r="B1" i="2"/>
  <c r="A1" i="2"/>
  <c r="D2" i="1"/>
  <c r="D3" i="1"/>
  <c r="D4" i="1"/>
  <c r="D5" i="1"/>
  <c r="D6" i="1"/>
  <c r="D7" i="1"/>
  <c r="D8" i="1"/>
  <c r="D9" i="1"/>
  <c r="D10" i="1"/>
  <c r="D11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J2" i="1"/>
  <c r="K2" i="1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J104" i="1"/>
  <c r="K104" i="1"/>
  <c r="J105" i="1"/>
  <c r="K105" i="1"/>
  <c r="J106" i="1"/>
  <c r="K106" i="1"/>
  <c r="J107" i="1"/>
  <c r="K107" i="1"/>
  <c r="J108" i="1"/>
  <c r="K108" i="1"/>
  <c r="J109" i="1"/>
  <c r="K109" i="1"/>
  <c r="J110" i="1"/>
  <c r="K110" i="1"/>
  <c r="J111" i="1"/>
  <c r="K111" i="1"/>
  <c r="J112" i="1"/>
  <c r="K112" i="1"/>
  <c r="J113" i="1"/>
  <c r="K113" i="1"/>
  <c r="J114" i="1"/>
  <c r="K114" i="1"/>
  <c r="J115" i="1"/>
  <c r="K115" i="1"/>
  <c r="J116" i="1"/>
  <c r="K116" i="1"/>
  <c r="J117" i="1"/>
  <c r="K117" i="1"/>
  <c r="J118" i="1"/>
  <c r="K118" i="1"/>
  <c r="J119" i="1"/>
  <c r="K119" i="1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J171" i="1"/>
  <c r="K171" i="1"/>
  <c r="J172" i="1"/>
  <c r="K172" i="1"/>
  <c r="J173" i="1"/>
  <c r="K173" i="1"/>
  <c r="J174" i="1"/>
  <c r="K174" i="1"/>
  <c r="J175" i="1"/>
  <c r="K175" i="1"/>
  <c r="J176" i="1"/>
  <c r="K176" i="1"/>
  <c r="J177" i="1"/>
  <c r="K177" i="1"/>
  <c r="J178" i="1"/>
  <c r="K178" i="1"/>
  <c r="J179" i="1"/>
  <c r="K179" i="1"/>
  <c r="J180" i="1"/>
  <c r="K180" i="1"/>
  <c r="J181" i="1"/>
  <c r="K181" i="1"/>
  <c r="J182" i="1"/>
  <c r="K182" i="1"/>
  <c r="J183" i="1"/>
  <c r="K183" i="1"/>
  <c r="J184" i="1"/>
  <c r="K184" i="1"/>
  <c r="J185" i="1"/>
  <c r="K185" i="1"/>
  <c r="J186" i="1"/>
  <c r="K186" i="1"/>
  <c r="J187" i="1"/>
  <c r="K187" i="1"/>
  <c r="J188" i="1"/>
  <c r="K188" i="1"/>
  <c r="J189" i="1"/>
  <c r="K189" i="1"/>
  <c r="J190" i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K197" i="1"/>
  <c r="J198" i="1"/>
  <c r="K198" i="1"/>
  <c r="J199" i="1"/>
  <c r="K199" i="1"/>
  <c r="J200" i="1"/>
  <c r="K200" i="1"/>
  <c r="J201" i="1"/>
  <c r="K201" i="1"/>
  <c r="J202" i="1"/>
  <c r="K202" i="1"/>
  <c r="J203" i="1"/>
  <c r="K203" i="1"/>
  <c r="J204" i="1"/>
  <c r="K204" i="1"/>
  <c r="J205" i="1"/>
  <c r="K205" i="1"/>
  <c r="J206" i="1"/>
  <c r="K206" i="1"/>
  <c r="J207" i="1"/>
  <c r="K207" i="1"/>
  <c r="J208" i="1"/>
  <c r="K208" i="1"/>
  <c r="J209" i="1"/>
  <c r="K209" i="1"/>
  <c r="J210" i="1"/>
  <c r="K210" i="1"/>
  <c r="J211" i="1"/>
  <c r="K211" i="1"/>
  <c r="J212" i="1"/>
  <c r="K212" i="1"/>
  <c r="J213" i="1"/>
  <c r="K213" i="1"/>
  <c r="J214" i="1"/>
  <c r="K214" i="1"/>
  <c r="J215" i="1"/>
  <c r="K215" i="1"/>
  <c r="J216" i="1"/>
  <c r="K216" i="1"/>
  <c r="J217" i="1"/>
  <c r="K217" i="1"/>
  <c r="J218" i="1"/>
  <c r="K218" i="1"/>
  <c r="J219" i="1"/>
  <c r="K219" i="1"/>
  <c r="J220" i="1"/>
  <c r="K220" i="1"/>
  <c r="J221" i="1"/>
  <c r="K221" i="1"/>
  <c r="J222" i="1"/>
  <c r="K222" i="1"/>
  <c r="J223" i="1"/>
  <c r="K223" i="1"/>
  <c r="J224" i="1"/>
  <c r="K224" i="1"/>
  <c r="J225" i="1"/>
  <c r="K225" i="1"/>
  <c r="J226" i="1"/>
  <c r="K226" i="1"/>
  <c r="J227" i="1"/>
  <c r="K227" i="1"/>
  <c r="J228" i="1"/>
  <c r="K228" i="1"/>
  <c r="J229" i="1"/>
  <c r="K229" i="1"/>
  <c r="J230" i="1"/>
  <c r="K230" i="1"/>
  <c r="J231" i="1"/>
  <c r="K231" i="1"/>
  <c r="J232" i="1"/>
  <c r="K232" i="1"/>
  <c r="J233" i="1"/>
  <c r="K233" i="1"/>
  <c r="J234" i="1"/>
  <c r="K234" i="1"/>
  <c r="J235" i="1"/>
  <c r="K235" i="1"/>
  <c r="J236" i="1"/>
  <c r="K236" i="1"/>
  <c r="J237" i="1"/>
  <c r="K237" i="1"/>
  <c r="J238" i="1"/>
  <c r="K238" i="1"/>
  <c r="J239" i="1"/>
  <c r="K239" i="1"/>
  <c r="J240" i="1"/>
  <c r="K240" i="1"/>
  <c r="J241" i="1"/>
  <c r="K241" i="1"/>
  <c r="J242" i="1"/>
  <c r="K242" i="1"/>
  <c r="J243" i="1"/>
  <c r="K243" i="1"/>
  <c r="J244" i="1"/>
  <c r="K244" i="1"/>
  <c r="J245" i="1"/>
  <c r="K245" i="1"/>
  <c r="J246" i="1"/>
  <c r="K246" i="1"/>
  <c r="J247" i="1"/>
  <c r="K247" i="1"/>
  <c r="J248" i="1"/>
  <c r="K248" i="1"/>
  <c r="J249" i="1"/>
  <c r="K249" i="1"/>
  <c r="J250" i="1"/>
  <c r="K250" i="1"/>
  <c r="J251" i="1"/>
  <c r="K251" i="1"/>
  <c r="J252" i="1"/>
  <c r="K252" i="1"/>
  <c r="J253" i="1"/>
  <c r="K253" i="1"/>
  <c r="J254" i="1"/>
  <c r="K254" i="1"/>
  <c r="J255" i="1"/>
  <c r="K255" i="1"/>
  <c r="J256" i="1"/>
  <c r="K256" i="1"/>
  <c r="J257" i="1"/>
  <c r="K257" i="1"/>
  <c r="J258" i="1"/>
  <c r="K258" i="1"/>
  <c r="J259" i="1"/>
  <c r="K259" i="1"/>
  <c r="J260" i="1"/>
  <c r="K260" i="1"/>
  <c r="J261" i="1"/>
  <c r="K261" i="1"/>
  <c r="J262" i="1"/>
  <c r="K262" i="1"/>
  <c r="J263" i="1"/>
  <c r="K263" i="1"/>
  <c r="J264" i="1"/>
  <c r="K264" i="1"/>
  <c r="J265" i="1"/>
  <c r="K265" i="1"/>
  <c r="J266" i="1"/>
  <c r="K266" i="1"/>
  <c r="J267" i="1"/>
  <c r="K267" i="1"/>
  <c r="J268" i="1"/>
  <c r="K268" i="1"/>
  <c r="J269" i="1"/>
  <c r="K269" i="1"/>
  <c r="J270" i="1"/>
  <c r="K270" i="1"/>
  <c r="J271" i="1"/>
  <c r="K271" i="1"/>
  <c r="J272" i="1"/>
  <c r="K272" i="1"/>
  <c r="J273" i="1"/>
  <c r="K273" i="1"/>
  <c r="J274" i="1"/>
  <c r="K274" i="1"/>
  <c r="J275" i="1"/>
  <c r="K275" i="1"/>
  <c r="J276" i="1"/>
  <c r="K276" i="1"/>
  <c r="J277" i="1"/>
  <c r="K277" i="1"/>
  <c r="J278" i="1"/>
  <c r="K278" i="1"/>
  <c r="J279" i="1"/>
  <c r="K279" i="1"/>
  <c r="J280" i="1"/>
  <c r="K280" i="1"/>
  <c r="J281" i="1"/>
  <c r="K281" i="1"/>
  <c r="J282" i="1"/>
  <c r="K282" i="1"/>
  <c r="J283" i="1"/>
  <c r="K283" i="1"/>
  <c r="J284" i="1"/>
  <c r="K284" i="1"/>
  <c r="J285" i="1"/>
  <c r="K285" i="1"/>
  <c r="J286" i="1"/>
  <c r="K286" i="1"/>
  <c r="J287" i="1"/>
  <c r="K287" i="1"/>
  <c r="J288" i="1"/>
  <c r="K288" i="1"/>
  <c r="J289" i="1"/>
  <c r="K289" i="1"/>
  <c r="J290" i="1"/>
  <c r="K290" i="1"/>
  <c r="J291" i="1"/>
  <c r="K291" i="1"/>
  <c r="J292" i="1"/>
  <c r="K292" i="1"/>
  <c r="J293" i="1"/>
  <c r="K293" i="1"/>
  <c r="J294" i="1"/>
  <c r="K294" i="1"/>
  <c r="J295" i="1"/>
  <c r="K295" i="1"/>
  <c r="J296" i="1"/>
  <c r="K296" i="1"/>
  <c r="J297" i="1"/>
  <c r="K297" i="1"/>
  <c r="J298" i="1"/>
  <c r="K298" i="1"/>
  <c r="J299" i="1"/>
  <c r="K299" i="1"/>
  <c r="J300" i="1"/>
  <c r="K300" i="1"/>
  <c r="J301" i="1"/>
  <c r="K301" i="1"/>
  <c r="J302" i="1"/>
  <c r="K302" i="1"/>
  <c r="J303" i="1"/>
  <c r="K303" i="1"/>
  <c r="J304" i="1"/>
  <c r="K304" i="1"/>
  <c r="J305" i="1"/>
  <c r="K305" i="1"/>
  <c r="J306" i="1"/>
  <c r="K306" i="1"/>
  <c r="J307" i="1"/>
  <c r="K307" i="1"/>
  <c r="J308" i="1"/>
  <c r="K308" i="1"/>
  <c r="J309" i="1"/>
  <c r="K309" i="1"/>
  <c r="J310" i="1"/>
  <c r="K310" i="1"/>
  <c r="J311" i="1"/>
  <c r="K311" i="1"/>
  <c r="J312" i="1"/>
  <c r="K312" i="1"/>
  <c r="J313" i="1"/>
  <c r="K313" i="1"/>
  <c r="J314" i="1"/>
  <c r="K314" i="1"/>
  <c r="J315" i="1"/>
  <c r="K315" i="1"/>
  <c r="J316" i="1"/>
  <c r="K316" i="1"/>
  <c r="J317" i="1"/>
  <c r="K317" i="1"/>
  <c r="J318" i="1"/>
  <c r="K318" i="1"/>
  <c r="J319" i="1"/>
  <c r="K319" i="1"/>
  <c r="J320" i="1"/>
  <c r="K320" i="1"/>
  <c r="J321" i="1"/>
  <c r="K321" i="1"/>
  <c r="J322" i="1"/>
  <c r="K322" i="1"/>
  <c r="J323" i="1"/>
  <c r="K323" i="1"/>
  <c r="J324" i="1"/>
  <c r="K324" i="1"/>
  <c r="J325" i="1"/>
  <c r="K325" i="1"/>
  <c r="J326" i="1"/>
  <c r="K326" i="1"/>
  <c r="J327" i="1"/>
  <c r="K327" i="1"/>
  <c r="J328" i="1"/>
  <c r="K328" i="1"/>
  <c r="J329" i="1"/>
  <c r="K329" i="1"/>
  <c r="J330" i="1"/>
  <c r="K330" i="1"/>
  <c r="J331" i="1"/>
  <c r="K331" i="1"/>
  <c r="J332" i="1"/>
  <c r="K332" i="1"/>
  <c r="J333" i="1"/>
  <c r="K333" i="1"/>
  <c r="J334" i="1"/>
  <c r="K334" i="1"/>
  <c r="J335" i="1"/>
  <c r="K335" i="1"/>
  <c r="J336" i="1"/>
  <c r="K336" i="1"/>
  <c r="J337" i="1"/>
  <c r="K337" i="1"/>
  <c r="J338" i="1"/>
  <c r="K338" i="1"/>
  <c r="J339" i="1"/>
  <c r="K339" i="1"/>
  <c r="J340" i="1"/>
  <c r="K340" i="1"/>
  <c r="J341" i="1"/>
  <c r="K341" i="1"/>
  <c r="J342" i="1"/>
  <c r="K342" i="1"/>
  <c r="J343" i="1"/>
  <c r="K343" i="1"/>
  <c r="J344" i="1"/>
  <c r="K344" i="1"/>
  <c r="J345" i="1"/>
  <c r="K345" i="1"/>
  <c r="J346" i="1"/>
  <c r="K346" i="1"/>
  <c r="J347" i="1"/>
  <c r="K347" i="1"/>
  <c r="J348" i="1"/>
  <c r="K348" i="1"/>
  <c r="J349" i="1"/>
  <c r="K349" i="1"/>
  <c r="J350" i="1"/>
  <c r="K350" i="1"/>
  <c r="J351" i="1"/>
  <c r="K351" i="1"/>
  <c r="J352" i="1"/>
  <c r="K352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J359" i="1"/>
  <c r="K359" i="1"/>
  <c r="J360" i="1"/>
  <c r="K360" i="1"/>
  <c r="J361" i="1"/>
  <c r="K361" i="1"/>
  <c r="J362" i="1"/>
  <c r="K362" i="1"/>
  <c r="J363" i="1"/>
  <c r="K363" i="1"/>
  <c r="J364" i="1"/>
  <c r="K364" i="1"/>
  <c r="J365" i="1"/>
  <c r="K365" i="1"/>
  <c r="J366" i="1"/>
  <c r="K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9" i="1"/>
  <c r="V8" i="1"/>
  <c r="V7" i="1"/>
  <c r="V11" i="1"/>
  <c r="V3" i="1"/>
  <c r="V2" i="1"/>
  <c r="V4" i="1"/>
  <c r="V5" i="1"/>
  <c r="V6" i="1"/>
  <c r="V10" i="1"/>
</calcChain>
</file>

<file path=xl/sharedStrings.xml><?xml version="1.0" encoding="utf-8"?>
<sst xmlns="http://schemas.openxmlformats.org/spreadsheetml/2006/main" count="534" uniqueCount="85">
  <si>
    <t>Num</t>
  </si>
  <si>
    <t>Groupe</t>
  </si>
  <si>
    <t>Code</t>
  </si>
  <si>
    <t>band/crew/invité</t>
  </si>
  <si>
    <t>Pax</t>
  </si>
  <si>
    <t>Motifs du voyage</t>
  </si>
  <si>
    <t>Date</t>
  </si>
  <si>
    <t>Heure</t>
  </si>
  <si>
    <t>Date pour pb</t>
  </si>
  <si>
    <t>Heure pour publipost</t>
  </si>
  <si>
    <t>Prise en charge</t>
  </si>
  <si>
    <t>Destination</t>
  </si>
  <si>
    <t>Détails du vol ou TGV</t>
  </si>
  <si>
    <t>Provenance Destination</t>
  </si>
  <si>
    <t>Type de bagage</t>
  </si>
  <si>
    <t xml:space="preserve">Contact </t>
  </si>
  <si>
    <t>Numéro tél</t>
  </si>
  <si>
    <t>Comments</t>
  </si>
  <si>
    <t>Check Artiste</t>
  </si>
  <si>
    <t>Etat de saisie</t>
  </si>
  <si>
    <t>Hotel selon resa Hotel</t>
  </si>
  <si>
    <t>CS</t>
  </si>
  <si>
    <t>The Killers</t>
  </si>
  <si>
    <t>Crew</t>
  </si>
  <si>
    <t>Arrival</t>
  </si>
  <si>
    <t>GVA</t>
  </si>
  <si>
    <t>Hôtel Crowne Plaza Geneva </t>
  </si>
  <si>
    <t>BA732</t>
  </si>
  <si>
    <t>LHR</t>
  </si>
  <si>
    <t>personal luggage</t>
  </si>
  <si>
    <t>5 Vitos</t>
  </si>
  <si>
    <t>envoyé</t>
  </si>
  <si>
    <t>Band/Crew</t>
  </si>
  <si>
    <t>Hôtel Chavannes</t>
  </si>
  <si>
    <t>ok</t>
  </si>
  <si>
    <t>Transfer</t>
  </si>
  <si>
    <t>Paléo (Le Dôme)</t>
  </si>
  <si>
    <t>n/a</t>
  </si>
  <si>
    <t>tbc</t>
  </si>
  <si>
    <t>band</t>
  </si>
  <si>
    <t>Depeche Mode</t>
  </si>
  <si>
    <t>Hotel Kempinski, 19 Quai du Mont-Blanc, Genève</t>
  </si>
  <si>
    <t>1 person luggage + hand luggage</t>
  </si>
  <si>
    <t>4x Vito</t>
  </si>
  <si>
    <t>Charlotte Cardin</t>
  </si>
  <si>
    <t>Gare de Nyon (côté Jura)</t>
  </si>
  <si>
    <t/>
  </si>
  <si>
    <t>DH</t>
  </si>
  <si>
    <t>Héléne Monnier</t>
  </si>
  <si>
    <t>Pro</t>
  </si>
  <si>
    <t>Paléo (Production Artiste)</t>
  </si>
  <si>
    <t>Hélène</t>
  </si>
  <si>
    <t>+33 6 27 82 84 74</t>
  </si>
  <si>
    <t>Utilisation d'un utilitaire pour la journée</t>
  </si>
  <si>
    <t>Production Artiste</t>
  </si>
  <si>
    <t>2 valises</t>
  </si>
  <si>
    <t>Chauffeurs</t>
  </si>
  <si>
    <t>Aller chercher les boissons secteurs.</t>
  </si>
  <si>
    <t>Gare de Nyon (côte Jura)</t>
  </si>
  <si>
    <t>Bandakadabra</t>
  </si>
  <si>
    <t>Paléo (La Ruche)</t>
  </si>
  <si>
    <t>Florence Ayrault</t>
  </si>
  <si>
    <t>+33682677287</t>
  </si>
  <si>
    <t>AB</t>
  </si>
  <si>
    <t>Arrivée</t>
  </si>
  <si>
    <t>Transfert</t>
  </si>
  <si>
    <t>x</t>
  </si>
  <si>
    <t>Tel équipe Escale (0774202140) pour prévenir de leur arrivée au backstage Dôme pour accueil</t>
  </si>
  <si>
    <t>1 bagage + 1 instrument</t>
  </si>
  <si>
    <t>Peran</t>
  </si>
  <si>
    <t>A3854</t>
  </si>
  <si>
    <t>Athens</t>
  </si>
  <si>
    <t>Georgios Stamatis</t>
  </si>
  <si>
    <t>0044 750 026 44 76</t>
  </si>
  <si>
    <t>LX443</t>
  </si>
  <si>
    <t>Londres</t>
  </si>
  <si>
    <t>3 bagage + 2 instruments</t>
  </si>
  <si>
    <t>Nicola Cotsoglou, Laura Midgley, Utkan Kocak</t>
  </si>
  <si>
    <t>Petits sacs et 3 instruments</t>
  </si>
  <si>
    <t>ERREUR NOM</t>
  </si>
  <si>
    <t>Gorillaz</t>
  </si>
  <si>
    <t>Brigitte</t>
  </si>
  <si>
    <t>Jambo</t>
  </si>
  <si>
    <t>Ponctuel please !!!</t>
  </si>
  <si>
    <t>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</si>
</sst>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[h]:mm"/>
  </numFmts>
  <fonts count="9" x14ac:knownFonts="1">
    <font>
      <sz val="10"/>
      <name val="Arial"/>
    </font>
    <font>
      <b/>
      <sz val="9"/>
      <name val="Tahoma"/>
      <family val="2"/>
    </font>
    <font>
      <b/>
      <sz val="10"/>
      <name val="Tahoma"/>
      <family val="2"/>
    </font>
    <font>
      <sz val="9"/>
      <name val="Tahoma"/>
      <family val="2"/>
    </font>
    <font>
      <sz val="10"/>
      <name val="Tahoma"/>
      <family val="2"/>
    </font>
    <font>
      <sz val="10"/>
      <name val="Arial"/>
      <family val="2"/>
    </font>
    <font>
      <sz val="9"/>
      <name val="Arial"/>
      <family val="2"/>
    </font>
    <font>
      <sz val="12"/>
      <name val="Arial"/>
      <family val="2"/>
    </font>
    <font>
      <sz val="12"/>
      <color indexed="72"/>
      <name val="Helvetica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36">
    <xf numFmtId="0" fontId="0" fillId="0" borderId="0" xfId="0"/>
    <xf numFmtId="2" fontId="1" fillId="2" borderId="1" xfId="0" applyNumberFormat="1" applyFont="1" applyFill="1" applyBorder="1" applyAlignment="1" applyProtection="1">
      <alignment horizontal="center" vertical="center" textRotation="90" wrapText="1"/>
    </xf>
    <xf numFmtId="2" fontId="2" fillId="2" borderId="1" xfId="0" applyNumberFormat="1" applyFont="1" applyFill="1" applyBorder="1" applyAlignment="1" applyProtection="1">
      <alignment vertical="center" wrapText="1"/>
      <protection locked="0"/>
    </xf>
    <xf numFmtId="2" fontId="2" fillId="2" borderId="1" xfId="0" applyNumberFormat="1" applyFont="1" applyFill="1" applyBorder="1" applyAlignment="1" applyProtection="1">
      <alignment vertical="center" wrapText="1"/>
    </xf>
    <xf numFmtId="1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0" applyNumberFormat="1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49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0" fontId="3" fillId="3" borderId="1" xfId="0" applyFont="1" applyFill="1" applyBorder="1" applyAlignment="1" applyProtection="1">
      <alignment horizontal="center" vertical="center" textRotation="90" wrapText="1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 applyAlignment="1" applyProtection="1">
      <alignment vertical="center" wrapText="1"/>
    </xf>
    <xf numFmtId="1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14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3" borderId="1" xfId="0" applyNumberFormat="1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49" fontId="4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left" vertical="center" wrapText="1"/>
      <protection locked="0"/>
    </xf>
    <xf numFmtId="1" fontId="4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textRotation="90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4" fillId="0" borderId="1" xfId="0" quotePrefix="1" applyFont="1" applyFill="1" applyBorder="1" applyAlignment="1" applyProtection="1">
      <alignment horizontal="center" vertical="center" wrapText="1"/>
      <protection locked="0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</cellXfs>
  <cellStyles count="2">
    <cellStyle name="Normal" xfId="0" builtinId="0"/>
    <cellStyle name="Normal 2 2" xfId="1"/>
  </cellStyles>
  <dxfs count="1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1066800</xdr:colOff>
          <xdr:row>1</xdr:row>
          <xdr:rowOff>342900</xdr:rowOff>
        </xdr:from>
        <xdr:to>
          <xdr:col>22</xdr:col>
          <xdr:colOff>2743200</xdr:colOff>
          <xdr:row>2</xdr:row>
          <xdr:rowOff>495300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Préparer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 enableFormatConditionsCalculation="0">
    <pageSetUpPr fitToPage="1"/>
  </sheetPr>
  <dimension ref="A1:V367"/>
  <sheetViews>
    <sheetView tabSelected="1" zoomScale="90" zoomScaleNormal="90" zoomScaleSheetLayoutView="100" workbookViewId="0">
      <pane ySplit="1" topLeftCell="A2" activePane="bottomLeft" state="frozen"/>
      <selection pane="bottomLeft" activeCell="W11" sqref="W11"/>
    </sheetView>
  </sheetViews>
  <sheetFormatPr baseColWidth="10" defaultColWidth="51" defaultRowHeight="48.75" customHeight="1" x14ac:dyDescent="0.15"/>
  <cols>
    <col min="1" max="1" width="4.5" style="25" customWidth="1"/>
    <col min="2" max="2" width="8.6640625" style="12" customWidth="1"/>
    <col min="3" max="3" width="10.6640625" style="12" bestFit="1" customWidth="1"/>
    <col min="4" max="4" width="8.5" style="26" hidden="1" customWidth="1"/>
    <col min="5" max="5" width="21" style="12" bestFit="1" customWidth="1"/>
    <col min="6" max="6" width="8.83203125" style="28" bestFit="1" customWidth="1"/>
    <col min="7" max="7" width="14.1640625" style="28" bestFit="1" customWidth="1"/>
    <col min="8" max="8" width="12" style="29" customWidth="1"/>
    <col min="9" max="9" width="11.1640625" style="19" bestFit="1" customWidth="1"/>
    <col min="10" max="10" width="14.83203125" style="30" hidden="1" customWidth="1"/>
    <col min="11" max="11" width="11.6640625" style="26" hidden="1" customWidth="1"/>
    <col min="12" max="12" width="19.6640625" style="28" customWidth="1"/>
    <col min="13" max="13" width="20.5" style="28" customWidth="1"/>
    <col min="14" max="14" width="25" style="28" bestFit="1" customWidth="1"/>
    <col min="15" max="15" width="16.5" style="28" bestFit="1" customWidth="1"/>
    <col min="16" max="16" width="20.33203125" style="28" bestFit="1" customWidth="1"/>
    <col min="17" max="17" width="16.33203125" style="28" customWidth="1"/>
    <col min="18" max="18" width="19.83203125" style="31" customWidth="1"/>
    <col min="19" max="19" width="17.33203125" style="27" customWidth="1"/>
    <col min="20" max="20" width="9.83203125" style="26" bestFit="1" customWidth="1"/>
    <col min="21" max="21" width="15.6640625" style="27" bestFit="1" customWidth="1"/>
    <col min="22" max="22" width="12.83203125" style="26" customWidth="1"/>
    <col min="23" max="16384" width="51" style="12"/>
  </cols>
  <sheetData>
    <row r="1" spans="1:22" ht="48.75" customHeight="1" x14ac:dyDescent="0.15">
      <c r="A1" s="1" t="s">
        <v>0</v>
      </c>
      <c r="B1" s="2" t="s">
        <v>84</v>
      </c>
      <c r="C1" s="2" t="s">
        <v>1</v>
      </c>
      <c r="D1" s="3" t="s">
        <v>2</v>
      </c>
      <c r="E1" s="2" t="s">
        <v>3</v>
      </c>
      <c r="F1" s="4" t="s">
        <v>4</v>
      </c>
      <c r="G1" s="5" t="s">
        <v>5</v>
      </c>
      <c r="H1" s="6" t="s">
        <v>6</v>
      </c>
      <c r="I1" s="7" t="s">
        <v>7</v>
      </c>
      <c r="J1" s="8" t="s">
        <v>8</v>
      </c>
      <c r="K1" s="3" t="s">
        <v>9</v>
      </c>
      <c r="L1" s="9" t="s">
        <v>10</v>
      </c>
      <c r="M1" s="9" t="s">
        <v>11</v>
      </c>
      <c r="N1" s="10" t="s">
        <v>12</v>
      </c>
      <c r="O1" s="5" t="s">
        <v>13</v>
      </c>
      <c r="P1" s="5" t="s">
        <v>14</v>
      </c>
      <c r="Q1" s="10" t="s">
        <v>15</v>
      </c>
      <c r="R1" s="4" t="s">
        <v>16</v>
      </c>
      <c r="S1" s="11" t="s">
        <v>17</v>
      </c>
      <c r="T1" s="3" t="s">
        <v>18</v>
      </c>
      <c r="U1" s="11" t="s">
        <v>19</v>
      </c>
      <c r="V1" s="3" t="s">
        <v>20</v>
      </c>
    </row>
    <row r="2" spans="1:22" ht="48.75" customHeight="1" x14ac:dyDescent="0.15">
      <c r="A2" s="13">
        <v>121</v>
      </c>
      <c r="B2" s="14" t="s">
        <v>47</v>
      </c>
      <c r="C2" s="14" t="s">
        <v>56</v>
      </c>
      <c r="D2" s="15" t="str">
        <f>C2&amp;COUNTIF($C$1:C2,C2)</f>
        <v>Chauffeurs1</v>
      </c>
      <c r="E2" s="14" t="s">
        <v>49</v>
      </c>
      <c r="F2" s="16">
        <v>1</v>
      </c>
      <c r="G2" s="17" t="s">
        <v>35</v>
      </c>
      <c r="H2" s="18">
        <v>43295</v>
      </c>
      <c r="I2" s="19">
        <v>0.45833333333333331</v>
      </c>
      <c r="J2" s="20" t="str">
        <f t="shared" ref="J2:J65" si="0">IF(ISERROR(DAY(H2)),H2,DAY(H2)&amp;"."&amp;MONTH(H2)&amp;".")</f>
        <v>14.7.</v>
      </c>
      <c r="K2" s="15" t="str">
        <f t="shared" ref="K2:K65" si="1">IF(ISERROR(HOUR(I2)&amp;":"&amp;IF(MINUTE(I2)=0,"00",MINUTE(I2))),I2,HOUR(I2)&amp;":"&amp;IF(MINUTE(I2)=0,"00",IF(MINUTE(I2)&lt;10,"0"&amp;MINUTE(I2),MINUTE(I2))))</f>
        <v>11:00</v>
      </c>
      <c r="L2" s="17" t="s">
        <v>54</v>
      </c>
      <c r="M2" s="17" t="s">
        <v>54</v>
      </c>
      <c r="N2" s="22"/>
      <c r="O2" s="17"/>
      <c r="P2" s="17"/>
      <c r="Q2" s="17"/>
      <c r="R2" s="24"/>
      <c r="S2" s="23" t="s">
        <v>57</v>
      </c>
      <c r="T2" s="15" t="s">
        <v>34</v>
      </c>
      <c r="U2" s="17"/>
      <c r="V2" s="15" t="str">
        <f>IF(ISERROR(VLOOKUP(C2,#REF!,8,0)),"",VLOOKUP(C2,#REF!,8,0))</f>
        <v/>
      </c>
    </row>
    <row r="3" spans="1:22" ht="48.75" customHeight="1" x14ac:dyDescent="0.15">
      <c r="A3" s="13">
        <v>129</v>
      </c>
      <c r="B3" s="14" t="s">
        <v>47</v>
      </c>
      <c r="C3" s="14" t="s">
        <v>49</v>
      </c>
      <c r="D3" s="15" t="str">
        <f>C3&amp;COUNTIF($C$1:C3,C3)</f>
        <v>Pro1</v>
      </c>
      <c r="E3" s="14" t="s">
        <v>56</v>
      </c>
      <c r="F3" s="16">
        <v>1</v>
      </c>
      <c r="G3" s="17" t="s">
        <v>35</v>
      </c>
      <c r="H3" s="18">
        <v>43295</v>
      </c>
      <c r="I3" s="19">
        <v>0.45833333333333331</v>
      </c>
      <c r="J3" s="20" t="str">
        <f t="shared" si="0"/>
        <v>14.7.</v>
      </c>
      <c r="K3" s="15" t="str">
        <f t="shared" si="1"/>
        <v>11:00</v>
      </c>
      <c r="L3" s="17" t="s">
        <v>54</v>
      </c>
      <c r="M3" s="17" t="s">
        <v>54</v>
      </c>
      <c r="N3" s="22"/>
      <c r="O3" s="17"/>
      <c r="P3" s="17"/>
      <c r="Q3" s="17" t="s">
        <v>51</v>
      </c>
      <c r="R3" s="24" t="s">
        <v>52</v>
      </c>
      <c r="S3" s="23"/>
      <c r="T3" s="15" t="s">
        <v>79</v>
      </c>
      <c r="U3" s="17"/>
      <c r="V3" s="15" t="str">
        <f>IF(ISERROR(VLOOKUP(C3,#REF!,8,0)),"",VLOOKUP(C3,#REF!,8,0))</f>
        <v/>
      </c>
    </row>
    <row r="4" spans="1:22" ht="48.75" customHeight="1" x14ac:dyDescent="0.15">
      <c r="A4" s="13">
        <v>78</v>
      </c>
      <c r="B4" s="14" t="s">
        <v>47</v>
      </c>
      <c r="C4" s="14" t="s">
        <v>48</v>
      </c>
      <c r="D4" s="15" t="str">
        <f>C4&amp;COUNTIF($C$1:C4,C4)</f>
        <v>Héléne Monnier1</v>
      </c>
      <c r="E4" s="14" t="s">
        <v>49</v>
      </c>
      <c r="F4" s="16">
        <v>1</v>
      </c>
      <c r="G4" s="17" t="s">
        <v>35</v>
      </c>
      <c r="H4" s="18">
        <v>43296</v>
      </c>
      <c r="I4" s="19">
        <v>0.4375</v>
      </c>
      <c r="J4" s="20" t="str">
        <f t="shared" si="0"/>
        <v>15.7.</v>
      </c>
      <c r="K4" s="15" t="str">
        <f t="shared" si="1"/>
        <v>10:30</v>
      </c>
      <c r="L4" s="17" t="s">
        <v>50</v>
      </c>
      <c r="M4" s="17" t="s">
        <v>50</v>
      </c>
      <c r="N4" s="22"/>
      <c r="O4" s="17"/>
      <c r="P4" s="17"/>
      <c r="Q4" s="17" t="s">
        <v>51</v>
      </c>
      <c r="R4" s="24" t="s">
        <v>52</v>
      </c>
      <c r="S4" s="23" t="s">
        <v>53</v>
      </c>
      <c r="T4" s="15" t="s">
        <v>34</v>
      </c>
      <c r="U4" s="17" t="s">
        <v>31</v>
      </c>
      <c r="V4" s="15" t="str">
        <f>IF(ISERROR(VLOOKUP(C4,#REF!,8,0)),"",VLOOKUP(C4,#REF!,8,0))</f>
        <v/>
      </c>
    </row>
    <row r="5" spans="1:22" ht="48.75" customHeight="1" x14ac:dyDescent="0.15">
      <c r="A5" s="13">
        <v>50</v>
      </c>
      <c r="B5" s="14" t="s">
        <v>21</v>
      </c>
      <c r="C5" s="14" t="s">
        <v>44</v>
      </c>
      <c r="D5" s="15" t="str">
        <f>C5&amp;COUNTIF($C$1:C5,C5)</f>
        <v>Charlotte Cardin1</v>
      </c>
      <c r="E5" s="14" t="s">
        <v>32</v>
      </c>
      <c r="F5" s="16">
        <v>6</v>
      </c>
      <c r="G5" s="17" t="s">
        <v>24</v>
      </c>
      <c r="H5" s="18">
        <v>43296</v>
      </c>
      <c r="I5" s="19">
        <v>0.5</v>
      </c>
      <c r="J5" s="20" t="str">
        <f t="shared" si="0"/>
        <v>15.7.</v>
      </c>
      <c r="K5" s="15" t="str">
        <f t="shared" si="1"/>
        <v>12:00</v>
      </c>
      <c r="L5" s="17" t="s">
        <v>45</v>
      </c>
      <c r="M5" s="17" t="s">
        <v>33</v>
      </c>
      <c r="N5" s="22"/>
      <c r="O5" s="17"/>
      <c r="P5" s="17" t="s">
        <v>38</v>
      </c>
      <c r="Q5" s="17"/>
      <c r="R5" s="24"/>
      <c r="S5" s="23"/>
      <c r="T5" s="15" t="s">
        <v>34</v>
      </c>
      <c r="U5" s="17" t="s">
        <v>31</v>
      </c>
      <c r="V5" s="15" t="str">
        <f>IF(ISERROR(VLOOKUP(C5,#REF!,8,0)),"",VLOOKUP(C5,#REF!,8,0))</f>
        <v/>
      </c>
    </row>
    <row r="6" spans="1:22" ht="48.75" customHeight="1" x14ac:dyDescent="0.15">
      <c r="A6" s="13">
        <v>45</v>
      </c>
      <c r="B6" s="14" t="s">
        <v>21</v>
      </c>
      <c r="C6" s="14" t="s">
        <v>40</v>
      </c>
      <c r="D6" s="15" t="str">
        <f>C6&amp;COUNTIF($C$1:C6,C6)</f>
        <v>Depeche Mode1</v>
      </c>
      <c r="E6" s="14" t="s">
        <v>23</v>
      </c>
      <c r="F6" s="16">
        <v>21</v>
      </c>
      <c r="G6" s="17" t="s">
        <v>24</v>
      </c>
      <c r="H6" s="18">
        <v>43296</v>
      </c>
      <c r="I6" s="19">
        <v>0.60069444444444442</v>
      </c>
      <c r="J6" s="20" t="str">
        <f t="shared" si="0"/>
        <v>15.7.</v>
      </c>
      <c r="K6" s="15" t="str">
        <f t="shared" si="1"/>
        <v>14:25</v>
      </c>
      <c r="L6" s="17" t="s">
        <v>25</v>
      </c>
      <c r="M6" s="17" t="s">
        <v>41</v>
      </c>
      <c r="N6" s="22"/>
      <c r="O6" s="17"/>
      <c r="P6" s="17" t="s">
        <v>42</v>
      </c>
      <c r="Q6" s="17"/>
      <c r="R6" s="24"/>
      <c r="S6" s="23" t="s">
        <v>43</v>
      </c>
      <c r="T6" s="15" t="s">
        <v>34</v>
      </c>
      <c r="U6" s="17" t="s">
        <v>31</v>
      </c>
      <c r="V6" s="15" t="str">
        <f>IF(ISERROR(VLOOKUP(C6,#REF!,8,0)),"",VLOOKUP(C6,#REF!,8,0))</f>
        <v/>
      </c>
    </row>
    <row r="7" spans="1:22" ht="48.75" customHeight="1" x14ac:dyDescent="0.15">
      <c r="A7" s="13">
        <v>147</v>
      </c>
      <c r="B7" s="14" t="s">
        <v>63</v>
      </c>
      <c r="C7" s="14" t="s">
        <v>69</v>
      </c>
      <c r="D7" s="15" t="str">
        <f>C7&amp;COUNTIF($C$1:C7,C7)</f>
        <v>Peran1</v>
      </c>
      <c r="E7" s="14" t="s">
        <v>39</v>
      </c>
      <c r="F7" s="16">
        <v>1</v>
      </c>
      <c r="G7" s="17" t="s">
        <v>64</v>
      </c>
      <c r="H7" s="18">
        <v>43297</v>
      </c>
      <c r="I7" s="19">
        <v>0.4375</v>
      </c>
      <c r="J7" s="20" t="str">
        <f t="shared" si="0"/>
        <v>16.7.</v>
      </c>
      <c r="K7" s="15" t="str">
        <f t="shared" si="1"/>
        <v>10:30</v>
      </c>
      <c r="L7" s="17" t="s">
        <v>25</v>
      </c>
      <c r="M7" s="17" t="s">
        <v>33</v>
      </c>
      <c r="N7" s="22"/>
      <c r="O7" s="17"/>
      <c r="P7" s="17" t="s">
        <v>68</v>
      </c>
      <c r="Q7" s="17" t="s">
        <v>72</v>
      </c>
      <c r="R7" s="24" t="s">
        <v>73</v>
      </c>
      <c r="S7" s="23"/>
      <c r="T7" s="15" t="s">
        <v>34</v>
      </c>
      <c r="U7" s="17" t="s">
        <v>34</v>
      </c>
      <c r="V7" s="15" t="str">
        <f>IF(ISERROR(VLOOKUP(C7,#REF!,8,0)),"",VLOOKUP(C7,#REF!,8,0))</f>
        <v/>
      </c>
    </row>
    <row r="8" spans="1:22" ht="48.75" customHeight="1" x14ac:dyDescent="0.15">
      <c r="A8" s="13">
        <v>148</v>
      </c>
      <c r="B8" s="14" t="s">
        <v>63</v>
      </c>
      <c r="C8" s="14" t="s">
        <v>69</v>
      </c>
      <c r="D8" s="15" t="str">
        <f>C8&amp;COUNTIF($C$1:C8,C8)</f>
        <v>Peran2</v>
      </c>
      <c r="E8" s="14" t="s">
        <v>39</v>
      </c>
      <c r="F8" s="16">
        <v>3</v>
      </c>
      <c r="G8" s="17" t="s">
        <v>64</v>
      </c>
      <c r="H8" s="18">
        <v>43297</v>
      </c>
      <c r="I8" s="19">
        <v>0.46875</v>
      </c>
      <c r="J8" s="20" t="str">
        <f t="shared" si="0"/>
        <v>16.7.</v>
      </c>
      <c r="K8" s="15" t="str">
        <f t="shared" si="1"/>
        <v>11:15</v>
      </c>
      <c r="L8" s="17" t="s">
        <v>25</v>
      </c>
      <c r="M8" s="17" t="s">
        <v>33</v>
      </c>
      <c r="N8" s="22"/>
      <c r="O8" s="17"/>
      <c r="P8" s="17" t="s">
        <v>76</v>
      </c>
      <c r="Q8" s="17" t="s">
        <v>77</v>
      </c>
      <c r="R8" s="24">
        <v>447500264476</v>
      </c>
      <c r="S8" s="23" t="s">
        <v>83</v>
      </c>
      <c r="T8" s="15" t="s">
        <v>34</v>
      </c>
      <c r="U8" s="17" t="s">
        <v>34</v>
      </c>
      <c r="V8" s="15" t="str">
        <f>IF(ISERROR(VLOOKUP(C8,#REF!,8,0)),"",VLOOKUP(C8,#REF!,8,0))</f>
        <v/>
      </c>
    </row>
    <row r="9" spans="1:22" ht="48.75" customHeight="1" x14ac:dyDescent="0.15">
      <c r="A9" s="13">
        <v>149</v>
      </c>
      <c r="B9" s="14" t="s">
        <v>63</v>
      </c>
      <c r="C9" s="14" t="s">
        <v>69</v>
      </c>
      <c r="D9" s="15" t="str">
        <f>C9&amp;COUNTIF($C$1:C9,C9)</f>
        <v>Peran3</v>
      </c>
      <c r="E9" s="14" t="s">
        <v>39</v>
      </c>
      <c r="F9" s="16">
        <v>4</v>
      </c>
      <c r="G9" s="17" t="s">
        <v>65</v>
      </c>
      <c r="H9" s="18">
        <v>43297</v>
      </c>
      <c r="I9" s="19">
        <v>0.66666666666666663</v>
      </c>
      <c r="J9" s="20" t="str">
        <f t="shared" si="0"/>
        <v>16.7.</v>
      </c>
      <c r="K9" s="15" t="str">
        <f t="shared" si="1"/>
        <v>16:00</v>
      </c>
      <c r="L9" s="17" t="s">
        <v>33</v>
      </c>
      <c r="M9" s="17" t="s">
        <v>36</v>
      </c>
      <c r="N9" s="22" t="s">
        <v>66</v>
      </c>
      <c r="O9" s="17" t="s">
        <v>66</v>
      </c>
      <c r="P9" s="17"/>
      <c r="Q9" s="17"/>
      <c r="R9" s="24"/>
      <c r="S9" s="12"/>
      <c r="T9" s="15" t="s">
        <v>34</v>
      </c>
      <c r="U9" s="17"/>
      <c r="V9" s="15" t="str">
        <f>IF(ISERROR(VLOOKUP(C9,#REF!,8,0)),"",VLOOKUP(C9,#REF!,8,0))</f>
        <v/>
      </c>
    </row>
    <row r="10" spans="1:22" ht="48.75" customHeight="1" x14ac:dyDescent="0.15">
      <c r="A10" s="13">
        <v>1</v>
      </c>
      <c r="B10" s="14" t="s">
        <v>21</v>
      </c>
      <c r="C10" s="14" t="s">
        <v>22</v>
      </c>
      <c r="D10" s="15" t="str">
        <f>C10&amp;COUNTIF($C$1:C10,C10)</f>
        <v>The Killers1</v>
      </c>
      <c r="E10" s="14" t="s">
        <v>23</v>
      </c>
      <c r="F10" s="16">
        <v>28</v>
      </c>
      <c r="G10" s="17" t="s">
        <v>24</v>
      </c>
      <c r="H10" s="18">
        <v>43297</v>
      </c>
      <c r="I10" s="19">
        <v>0.69791666666666663</v>
      </c>
      <c r="J10" s="20" t="str">
        <f t="shared" si="0"/>
        <v>16.7.</v>
      </c>
      <c r="K10" s="15" t="str">
        <f t="shared" si="1"/>
        <v>16:45</v>
      </c>
      <c r="L10" s="17" t="s">
        <v>25</v>
      </c>
      <c r="M10" s="21" t="s">
        <v>26</v>
      </c>
      <c r="N10" s="22" t="s">
        <v>27</v>
      </c>
      <c r="O10" s="17" t="s">
        <v>28</v>
      </c>
      <c r="P10" s="17"/>
      <c r="Q10" s="17"/>
      <c r="R10" s="32"/>
      <c r="S10" s="23" t="s">
        <v>30</v>
      </c>
      <c r="T10" s="15" t="s">
        <v>34</v>
      </c>
      <c r="U10" s="17" t="s">
        <v>31</v>
      </c>
      <c r="V10" s="15" t="str">
        <f>IF(ISERROR(VLOOKUP(C10,#REF!,8,0)),"",VLOOKUP(C10,#REF!,8,0))</f>
        <v/>
      </c>
    </row>
    <row r="11" spans="1:22" ht="48.75" customHeight="1" x14ac:dyDescent="0.15">
      <c r="A11" s="13">
        <v>133</v>
      </c>
      <c r="B11" s="14" t="s">
        <v>21</v>
      </c>
      <c r="C11" s="14" t="s">
        <v>59</v>
      </c>
      <c r="D11" s="15" t="str">
        <f>C11&amp;COUNTIF($C$1:C11,C11)</f>
        <v>Bandakadabra1</v>
      </c>
      <c r="E11" s="14" t="s">
        <v>32</v>
      </c>
      <c r="F11" s="16">
        <v>2</v>
      </c>
      <c r="G11" s="17" t="s">
        <v>24</v>
      </c>
      <c r="H11" s="18">
        <v>43297</v>
      </c>
      <c r="I11" s="19">
        <v>0.7944444444444444</v>
      </c>
      <c r="J11" s="20" t="str">
        <f t="shared" si="0"/>
        <v>16.7.</v>
      </c>
      <c r="K11" s="15" t="str">
        <f t="shared" si="1"/>
        <v>19:04</v>
      </c>
      <c r="L11" s="17" t="s">
        <v>58</v>
      </c>
      <c r="M11" s="17" t="s">
        <v>60</v>
      </c>
      <c r="N11" s="22" t="s">
        <v>37</v>
      </c>
      <c r="O11" s="17" t="s">
        <v>38</v>
      </c>
      <c r="P11" s="17"/>
      <c r="Q11" s="17" t="s">
        <v>61</v>
      </c>
      <c r="R11" s="24" t="s">
        <v>62</v>
      </c>
      <c r="S11" s="23"/>
      <c r="T11" s="15" t="s">
        <v>79</v>
      </c>
      <c r="U11" s="17" t="s">
        <v>34</v>
      </c>
      <c r="V11" s="15" t="str">
        <f>IF(ISERROR(VLOOKUP(C11,#REF!,8,0)),"",VLOOKUP(C11,#REF!,8,0))</f>
        <v/>
      </c>
    </row>
    <row r="12" spans="1:22" ht="48.75" customHeight="1" x14ac:dyDescent="0.15">
      <c r="A12" s="13">
        <v>147</v>
      </c>
      <c r="B12" s="14" t="s">
        <v>63</v>
      </c>
      <c r="C12" s="14" t="s">
        <v>40</v>
      </c>
      <c r="D12" s="15" t="str">
        <f>C12&amp;COUNTIF($C$1:C12,C12)</f>
        <v>Depeche Mode2</v>
      </c>
      <c r="E12" s="14" t="s">
        <v>39</v>
      </c>
      <c r="F12" s="16">
        <v>2</v>
      </c>
      <c r="G12" s="17" t="s">
        <v>64</v>
      </c>
      <c r="H12" s="18">
        <v>43297</v>
      </c>
      <c r="I12" s="19">
        <v>0.4375</v>
      </c>
      <c r="J12" s="20" t="str">
        <f t="shared" ref="J12:J16" si="2">IF(ISERROR(DAY(H12)),H12,DAY(H12)&amp;"."&amp;MONTH(H12)&amp;".")</f>
        <v>16.7.</v>
      </c>
      <c r="K12" s="15" t="str">
        <f t="shared" ref="K12:K16" si="3">IF(ISERROR(HOUR(I12)&amp;":"&amp;IF(MINUTE(I12)=0,"00",MINUTE(I12))),I12,HOUR(I12)&amp;":"&amp;IF(MINUTE(I12)=0,"00",IF(MINUTE(I12)&lt;10,"0"&amp;MINUTE(I12),MINUTE(I12))))</f>
        <v>10:30</v>
      </c>
      <c r="L12" s="17" t="s">
        <v>25</v>
      </c>
      <c r="M12" s="17" t="s">
        <v>33</v>
      </c>
      <c r="N12" s="22" t="s">
        <v>70</v>
      </c>
      <c r="O12" s="17" t="s">
        <v>71</v>
      </c>
      <c r="P12" s="17"/>
      <c r="Q12" s="17" t="s">
        <v>72</v>
      </c>
      <c r="R12" s="24" t="s">
        <v>73</v>
      </c>
      <c r="S12" s="23" t="s">
        <v>67</v>
      </c>
      <c r="T12" s="15" t="s">
        <v>34</v>
      </c>
      <c r="U12" s="17" t="s">
        <v>34</v>
      </c>
      <c r="V12" s="15" t="str">
        <f>IF(ISERROR(VLOOKUP(C12,#REF!,8,0)),"",VLOOKUP(C12,#REF!,8,0))</f>
        <v/>
      </c>
    </row>
    <row r="13" spans="1:22" ht="48.75" customHeight="1" x14ac:dyDescent="0.15">
      <c r="A13" s="13">
        <v>148</v>
      </c>
      <c r="B13" s="14" t="s">
        <v>63</v>
      </c>
      <c r="C13" s="14" t="s">
        <v>40</v>
      </c>
      <c r="D13" s="15" t="str">
        <f>C13&amp;COUNTIF($C$1:C13,C13)</f>
        <v>Depeche Mode3</v>
      </c>
      <c r="E13" s="14" t="s">
        <v>39</v>
      </c>
      <c r="F13" s="16">
        <v>3</v>
      </c>
      <c r="G13" s="17" t="s">
        <v>64</v>
      </c>
      <c r="H13" s="18">
        <v>43297</v>
      </c>
      <c r="I13" s="19">
        <v>0.46875</v>
      </c>
      <c r="J13" s="20" t="str">
        <f t="shared" si="2"/>
        <v>16.7.</v>
      </c>
      <c r="K13" s="15" t="str">
        <f t="shared" si="3"/>
        <v>11:15</v>
      </c>
      <c r="L13" s="17" t="s">
        <v>25</v>
      </c>
      <c r="M13" s="17" t="s">
        <v>33</v>
      </c>
      <c r="N13" s="22" t="s">
        <v>74</v>
      </c>
      <c r="O13" s="17" t="s">
        <v>75</v>
      </c>
      <c r="P13" s="17" t="s">
        <v>76</v>
      </c>
      <c r="Q13" s="17"/>
      <c r="R13" s="24"/>
      <c r="S13" s="23"/>
      <c r="T13" s="15" t="s">
        <v>34</v>
      </c>
      <c r="U13" s="17" t="s">
        <v>34</v>
      </c>
      <c r="V13" s="15" t="str">
        <f>IF(ISERROR(VLOOKUP(C13,#REF!,8,0)),"",VLOOKUP(C13,#REF!,8,0))</f>
        <v/>
      </c>
    </row>
    <row r="14" spans="1:22" ht="48.75" customHeight="1" x14ac:dyDescent="0.15">
      <c r="A14" s="13">
        <v>149</v>
      </c>
      <c r="B14" s="14" t="s">
        <v>63</v>
      </c>
      <c r="C14" s="14" t="s">
        <v>80</v>
      </c>
      <c r="D14" s="15" t="str">
        <f>C14&amp;COUNTIF($C$1:C14,C14)</f>
        <v>Gorillaz1</v>
      </c>
      <c r="E14" s="14" t="s">
        <v>39</v>
      </c>
      <c r="F14" s="16">
        <v>3</v>
      </c>
      <c r="G14" s="17" t="s">
        <v>65</v>
      </c>
      <c r="H14" s="18">
        <v>43297</v>
      </c>
      <c r="I14" s="19">
        <v>0.66666666666666663</v>
      </c>
      <c r="J14" s="20" t="str">
        <f t="shared" si="2"/>
        <v>16.7.</v>
      </c>
      <c r="K14" s="15" t="str">
        <f t="shared" si="3"/>
        <v>16:00</v>
      </c>
      <c r="L14" s="17" t="s">
        <v>33</v>
      </c>
      <c r="M14" s="17" t="s">
        <v>36</v>
      </c>
      <c r="N14" s="22" t="s">
        <v>66</v>
      </c>
      <c r="O14" s="17" t="s">
        <v>66</v>
      </c>
      <c r="P14" s="17" t="s">
        <v>78</v>
      </c>
      <c r="Q14" s="12"/>
      <c r="R14" s="12"/>
      <c r="S14" s="23" t="s">
        <v>67</v>
      </c>
      <c r="T14" s="15" t="s">
        <v>34</v>
      </c>
      <c r="U14" s="17"/>
      <c r="V14" s="15" t="str">
        <f>IF(ISERROR(VLOOKUP(C14,#REF!,8,0)),"",VLOOKUP(C14,#REF!,8,0))</f>
        <v/>
      </c>
    </row>
    <row r="15" spans="1:22" ht="48.75" customHeight="1" x14ac:dyDescent="0.15">
      <c r="A15" s="13">
        <v>1</v>
      </c>
      <c r="B15" s="14" t="s">
        <v>21</v>
      </c>
      <c r="C15" s="14" t="s">
        <v>81</v>
      </c>
      <c r="D15" s="15" t="str">
        <f>C15&amp;COUNTIF($C$1:C15,C15)</f>
        <v>Brigitte1</v>
      </c>
      <c r="E15" s="14" t="s">
        <v>23</v>
      </c>
      <c r="F15" s="16">
        <v>2</v>
      </c>
      <c r="G15" s="17" t="s">
        <v>24</v>
      </c>
      <c r="H15" s="18">
        <v>43297</v>
      </c>
      <c r="I15" s="19">
        <v>0.69791666666666663</v>
      </c>
      <c r="J15" s="20" t="str">
        <f t="shared" si="2"/>
        <v>16.7.</v>
      </c>
      <c r="K15" s="15" t="str">
        <f t="shared" si="3"/>
        <v>16:45</v>
      </c>
      <c r="L15" s="17" t="s">
        <v>25</v>
      </c>
      <c r="M15" s="21" t="s">
        <v>26</v>
      </c>
      <c r="N15" s="22" t="s">
        <v>27</v>
      </c>
      <c r="O15" s="17" t="s">
        <v>28</v>
      </c>
      <c r="P15" s="17" t="s">
        <v>29</v>
      </c>
      <c r="Q15" s="17" t="s">
        <v>72</v>
      </c>
      <c r="R15" s="24" t="s">
        <v>73</v>
      </c>
      <c r="S15" s="12"/>
      <c r="T15" s="15" t="s">
        <v>34</v>
      </c>
      <c r="U15" s="17" t="s">
        <v>31</v>
      </c>
      <c r="V15" s="15" t="str">
        <f>IF(ISERROR(VLOOKUP(C15,#REF!,8,0)),"",VLOOKUP(C15,#REF!,8,0))</f>
        <v/>
      </c>
    </row>
    <row r="16" spans="1:22" ht="48.75" customHeight="1" x14ac:dyDescent="0.15">
      <c r="A16" s="13">
        <v>133</v>
      </c>
      <c r="B16" s="14" t="s">
        <v>21</v>
      </c>
      <c r="C16" s="14" t="s">
        <v>82</v>
      </c>
      <c r="D16" s="15" t="str">
        <f>C16&amp;COUNTIF($C$1:C16,C16)</f>
        <v>Jambo1</v>
      </c>
      <c r="E16" s="14" t="s">
        <v>32</v>
      </c>
      <c r="F16" s="16">
        <v>5</v>
      </c>
      <c r="G16" s="17" t="s">
        <v>24</v>
      </c>
      <c r="H16" s="18">
        <v>43297</v>
      </c>
      <c r="I16" s="19">
        <v>0.7944444444444444</v>
      </c>
      <c r="J16" s="20" t="str">
        <f t="shared" si="2"/>
        <v>16.7.</v>
      </c>
      <c r="K16" s="15" t="str">
        <f t="shared" si="3"/>
        <v>19:04</v>
      </c>
      <c r="L16" s="17" t="s">
        <v>58</v>
      </c>
      <c r="M16" s="17" t="s">
        <v>60</v>
      </c>
      <c r="N16" s="22" t="s">
        <v>37</v>
      </c>
      <c r="O16" s="17" t="s">
        <v>38</v>
      </c>
      <c r="P16" s="17" t="s">
        <v>55</v>
      </c>
      <c r="Q16" s="17" t="s">
        <v>61</v>
      </c>
      <c r="R16" s="24" t="s">
        <v>62</v>
      </c>
      <c r="S16" s="23" t="s">
        <v>30</v>
      </c>
      <c r="T16" s="15" t="s">
        <v>79</v>
      </c>
      <c r="U16" s="17" t="s">
        <v>34</v>
      </c>
      <c r="V16" s="15" t="str">
        <f>IF(ISERROR(VLOOKUP(C16,#REF!,8,0)),"",VLOOKUP(C16,#REF!,8,0))</f>
        <v/>
      </c>
    </row>
    <row r="17" spans="1:22" ht="48.75" customHeight="1" x14ac:dyDescent="0.15">
      <c r="A17" s="13">
        <v>251</v>
      </c>
      <c r="B17" s="14"/>
      <c r="C17" s="14"/>
      <c r="D17" s="15" t="str">
        <f>C17&amp;COUNTIF($C$1:C17,C17)</f>
        <v>0</v>
      </c>
      <c r="E17" s="14"/>
      <c r="F17" s="16"/>
      <c r="G17" s="17"/>
      <c r="H17" s="18"/>
      <c r="J17" s="20" t="str">
        <f t="shared" si="0"/>
        <v>0.1.</v>
      </c>
      <c r="K17" s="15" t="str">
        <f t="shared" si="1"/>
        <v>0:00</v>
      </c>
      <c r="L17" s="17"/>
      <c r="M17" s="17"/>
      <c r="N17" s="22"/>
      <c r="O17" s="17"/>
      <c r="P17" s="17"/>
      <c r="Q17" s="17"/>
      <c r="R17" s="24"/>
      <c r="S17" s="23"/>
      <c r="T17" s="15" t="s">
        <v>46</v>
      </c>
      <c r="U17" s="17"/>
      <c r="V17" s="15" t="str">
        <f>IF(ISERROR(VLOOKUP(C17,#REF!,8,0)),"",VLOOKUP(C17,#REF!,8,0))</f>
        <v/>
      </c>
    </row>
    <row r="18" spans="1:22" ht="48.75" customHeight="1" x14ac:dyDescent="0.15">
      <c r="A18" s="13">
        <v>252</v>
      </c>
      <c r="B18" s="14"/>
      <c r="C18" s="14"/>
      <c r="D18" s="15" t="str">
        <f>C18&amp;COUNTIF($C$1:C18,C18)</f>
        <v>0</v>
      </c>
      <c r="E18" s="14"/>
      <c r="F18" s="16"/>
      <c r="G18" s="17"/>
      <c r="H18" s="18"/>
      <c r="J18" s="20" t="str">
        <f t="shared" si="0"/>
        <v>0.1.</v>
      </c>
      <c r="K18" s="15" t="str">
        <f t="shared" si="1"/>
        <v>0:00</v>
      </c>
      <c r="L18" s="17"/>
      <c r="M18" s="17"/>
      <c r="N18" s="22"/>
      <c r="O18" s="17"/>
      <c r="P18" s="17"/>
      <c r="Q18" s="17"/>
      <c r="R18" s="24"/>
      <c r="S18" s="23"/>
      <c r="T18" s="15" t="s">
        <v>46</v>
      </c>
      <c r="U18" s="17"/>
      <c r="V18" s="15" t="str">
        <f>IF(ISERROR(VLOOKUP(C18,#REF!,8,0)),"",VLOOKUP(C18,#REF!,8,0))</f>
        <v/>
      </c>
    </row>
    <row r="19" spans="1:22" ht="48.75" customHeight="1" x14ac:dyDescent="0.15">
      <c r="A19" s="13">
        <v>253</v>
      </c>
      <c r="B19" s="14"/>
      <c r="C19" s="14"/>
      <c r="D19" s="15" t="str">
        <f>C19&amp;COUNTIF($C$1:C19,C19)</f>
        <v>0</v>
      </c>
      <c r="E19" s="14"/>
      <c r="F19" s="16"/>
      <c r="G19" s="17"/>
      <c r="H19" s="18"/>
      <c r="J19" s="20" t="str">
        <f t="shared" si="0"/>
        <v>0.1.</v>
      </c>
      <c r="K19" s="15" t="str">
        <f t="shared" si="1"/>
        <v>0:00</v>
      </c>
      <c r="L19" s="17"/>
      <c r="M19" s="17"/>
      <c r="N19" s="22"/>
      <c r="O19" s="17"/>
      <c r="P19" s="17"/>
      <c r="Q19" s="17"/>
      <c r="R19" s="24"/>
      <c r="S19" s="23"/>
      <c r="T19" s="15" t="s">
        <v>46</v>
      </c>
      <c r="U19" s="17"/>
      <c r="V19" s="15" t="str">
        <f>IF(ISERROR(VLOOKUP(C19,#REF!,8,0)),"",VLOOKUP(C19,#REF!,8,0))</f>
        <v/>
      </c>
    </row>
    <row r="20" spans="1:22" ht="48.75" customHeight="1" x14ac:dyDescent="0.15">
      <c r="A20" s="13">
        <v>254</v>
      </c>
      <c r="B20" s="14"/>
      <c r="C20" s="14"/>
      <c r="D20" s="15" t="str">
        <f>C20&amp;COUNTIF($C$1:C20,C20)</f>
        <v>0</v>
      </c>
      <c r="E20" s="14"/>
      <c r="F20" s="16"/>
      <c r="G20" s="17"/>
      <c r="H20" s="18"/>
      <c r="J20" s="20" t="str">
        <f t="shared" si="0"/>
        <v>0.1.</v>
      </c>
      <c r="K20" s="15" t="str">
        <f t="shared" si="1"/>
        <v>0:00</v>
      </c>
      <c r="L20" s="17"/>
      <c r="M20" s="17"/>
      <c r="N20" s="22"/>
      <c r="O20" s="17"/>
      <c r="P20" s="17"/>
      <c r="Q20" s="17"/>
      <c r="R20" s="24"/>
      <c r="S20" s="23"/>
      <c r="T20" s="15" t="s">
        <v>46</v>
      </c>
      <c r="U20" s="17"/>
      <c r="V20" s="15" t="str">
        <f>IF(ISERROR(VLOOKUP(C20,#REF!,8,0)),"",VLOOKUP(C20,#REF!,8,0))</f>
        <v/>
      </c>
    </row>
    <row r="21" spans="1:22" ht="48.75" customHeight="1" x14ac:dyDescent="0.15">
      <c r="A21" s="13">
        <v>255</v>
      </c>
      <c r="B21" s="14"/>
      <c r="C21" s="14"/>
      <c r="D21" s="15" t="str">
        <f>C21&amp;COUNTIF($C$1:C21,C21)</f>
        <v>0</v>
      </c>
      <c r="E21" s="14"/>
      <c r="F21" s="16"/>
      <c r="G21" s="17"/>
      <c r="H21" s="18"/>
      <c r="J21" s="20" t="str">
        <f t="shared" si="0"/>
        <v>0.1.</v>
      </c>
      <c r="K21" s="15" t="str">
        <f t="shared" si="1"/>
        <v>0:00</v>
      </c>
      <c r="L21" s="17"/>
      <c r="M21" s="17"/>
      <c r="N21" s="22"/>
      <c r="O21" s="17"/>
      <c r="P21" s="17"/>
      <c r="Q21" s="17"/>
      <c r="R21" s="24"/>
      <c r="S21" s="23"/>
      <c r="T21" s="15" t="s">
        <v>46</v>
      </c>
      <c r="U21" s="17"/>
      <c r="V21" s="15" t="str">
        <f>IF(ISERROR(VLOOKUP(C21,#REF!,8,0)),"",VLOOKUP(C21,#REF!,8,0))</f>
        <v/>
      </c>
    </row>
    <row r="22" spans="1:22" ht="48.75" customHeight="1" x14ac:dyDescent="0.15">
      <c r="A22" s="13">
        <v>256</v>
      </c>
      <c r="B22" s="14"/>
      <c r="C22" s="14"/>
      <c r="D22" s="15" t="str">
        <f>C22&amp;COUNTIF($C$1:C22,C22)</f>
        <v>0</v>
      </c>
      <c r="E22" s="14"/>
      <c r="F22" s="16"/>
      <c r="G22" s="17"/>
      <c r="H22" s="18"/>
      <c r="J22" s="20" t="str">
        <f t="shared" si="0"/>
        <v>0.1.</v>
      </c>
      <c r="K22" s="15" t="str">
        <f t="shared" si="1"/>
        <v>0:00</v>
      </c>
      <c r="L22" s="17"/>
      <c r="M22" s="17"/>
      <c r="N22" s="22"/>
      <c r="O22" s="17"/>
      <c r="P22" s="17"/>
      <c r="Q22" s="17"/>
      <c r="R22" s="24"/>
      <c r="S22" s="23"/>
      <c r="T22" s="15" t="s">
        <v>46</v>
      </c>
      <c r="U22" s="17"/>
      <c r="V22" s="15" t="str">
        <f>IF(ISERROR(VLOOKUP(C22,#REF!,8,0)),"",VLOOKUP(C22,#REF!,8,0))</f>
        <v/>
      </c>
    </row>
    <row r="23" spans="1:22" ht="48.75" customHeight="1" x14ac:dyDescent="0.15">
      <c r="A23" s="13">
        <v>257</v>
      </c>
      <c r="B23" s="14"/>
      <c r="C23" s="14"/>
      <c r="D23" s="15" t="str">
        <f>C23&amp;COUNTIF($C$1:C23,C23)</f>
        <v>0</v>
      </c>
      <c r="E23" s="14"/>
      <c r="F23" s="16"/>
      <c r="G23" s="17"/>
      <c r="H23" s="18"/>
      <c r="J23" s="20" t="str">
        <f t="shared" si="0"/>
        <v>0.1.</v>
      </c>
      <c r="K23" s="15" t="str">
        <f t="shared" si="1"/>
        <v>0:00</v>
      </c>
      <c r="L23" s="17"/>
      <c r="M23" s="17"/>
      <c r="N23" s="22"/>
      <c r="O23" s="17"/>
      <c r="P23" s="17"/>
      <c r="Q23" s="17"/>
      <c r="R23" s="24"/>
      <c r="S23" s="23"/>
      <c r="T23" s="15" t="s">
        <v>46</v>
      </c>
      <c r="U23" s="17"/>
      <c r="V23" s="15" t="str">
        <f>IF(ISERROR(VLOOKUP(C23,#REF!,8,0)),"",VLOOKUP(C23,#REF!,8,0))</f>
        <v/>
      </c>
    </row>
    <row r="24" spans="1:22" ht="48.75" customHeight="1" x14ac:dyDescent="0.15">
      <c r="A24" s="13">
        <v>258</v>
      </c>
      <c r="B24" s="14"/>
      <c r="C24" s="14"/>
      <c r="D24" s="15" t="str">
        <f>C24&amp;COUNTIF($C$1:C24,C24)</f>
        <v>0</v>
      </c>
      <c r="E24" s="14"/>
      <c r="F24" s="16"/>
      <c r="G24" s="17"/>
      <c r="H24" s="18"/>
      <c r="J24" s="20" t="str">
        <f t="shared" si="0"/>
        <v>0.1.</v>
      </c>
      <c r="K24" s="15" t="str">
        <f t="shared" si="1"/>
        <v>0:00</v>
      </c>
      <c r="L24" s="17"/>
      <c r="M24" s="17"/>
      <c r="N24" s="22"/>
      <c r="O24" s="17"/>
      <c r="P24" s="17"/>
      <c r="Q24" s="17"/>
      <c r="R24" s="24"/>
      <c r="S24" s="23"/>
      <c r="T24" s="15" t="s">
        <v>46</v>
      </c>
      <c r="U24" s="17"/>
      <c r="V24" s="15" t="str">
        <f>IF(ISERROR(VLOOKUP(C24,#REF!,8,0)),"",VLOOKUP(C24,#REF!,8,0))</f>
        <v/>
      </c>
    </row>
    <row r="25" spans="1:22" ht="48.75" customHeight="1" x14ac:dyDescent="0.15">
      <c r="A25" s="13">
        <v>259</v>
      </c>
      <c r="B25" s="14"/>
      <c r="C25" s="14"/>
      <c r="D25" s="15" t="str">
        <f>C25&amp;COUNTIF($C$1:C25,C25)</f>
        <v>0</v>
      </c>
      <c r="E25" s="14"/>
      <c r="F25" s="16"/>
      <c r="G25" s="17"/>
      <c r="H25" s="18"/>
      <c r="J25" s="20" t="str">
        <f t="shared" si="0"/>
        <v>0.1.</v>
      </c>
      <c r="K25" s="15" t="str">
        <f t="shared" si="1"/>
        <v>0:00</v>
      </c>
      <c r="L25" s="17"/>
      <c r="M25" s="17"/>
      <c r="N25" s="22"/>
      <c r="O25" s="17"/>
      <c r="P25" s="17"/>
      <c r="Q25" s="17"/>
      <c r="R25" s="24"/>
      <c r="S25" s="23"/>
      <c r="T25" s="15" t="s">
        <v>46</v>
      </c>
      <c r="U25" s="17"/>
      <c r="V25" s="15" t="str">
        <f>IF(ISERROR(VLOOKUP(C25,#REF!,8,0)),"",VLOOKUP(C25,#REF!,8,0))</f>
        <v/>
      </c>
    </row>
    <row r="26" spans="1:22" ht="48.75" customHeight="1" x14ac:dyDescent="0.15">
      <c r="A26" s="13">
        <v>260</v>
      </c>
      <c r="B26" s="14"/>
      <c r="C26" s="14"/>
      <c r="D26" s="15" t="str">
        <f>C26&amp;COUNTIF($C$1:C26,C26)</f>
        <v>0</v>
      </c>
      <c r="E26" s="14"/>
      <c r="F26" s="16"/>
      <c r="G26" s="17"/>
      <c r="H26" s="18"/>
      <c r="J26" s="20" t="str">
        <f t="shared" si="0"/>
        <v>0.1.</v>
      </c>
      <c r="K26" s="15" t="str">
        <f t="shared" si="1"/>
        <v>0:00</v>
      </c>
      <c r="L26" s="17"/>
      <c r="M26" s="17"/>
      <c r="N26" s="22"/>
      <c r="O26" s="17"/>
      <c r="P26" s="17"/>
      <c r="Q26" s="17"/>
      <c r="R26" s="24"/>
      <c r="S26" s="23"/>
      <c r="T26" s="15" t="s">
        <v>46</v>
      </c>
      <c r="U26" s="17"/>
      <c r="V26" s="15" t="str">
        <f>IF(ISERROR(VLOOKUP(C26,#REF!,8,0)),"",VLOOKUP(C26,#REF!,8,0))</f>
        <v/>
      </c>
    </row>
    <row r="27" spans="1:22" ht="48.75" customHeight="1" x14ac:dyDescent="0.15">
      <c r="A27" s="13">
        <v>261</v>
      </c>
      <c r="B27" s="14"/>
      <c r="C27" s="14"/>
      <c r="D27" s="15" t="str">
        <f>C27&amp;COUNTIF($C$1:C27,C27)</f>
        <v>0</v>
      </c>
      <c r="E27" s="14"/>
      <c r="F27" s="16"/>
      <c r="G27" s="17"/>
      <c r="H27" s="18"/>
      <c r="J27" s="20" t="str">
        <f t="shared" si="0"/>
        <v>0.1.</v>
      </c>
      <c r="K27" s="15" t="str">
        <f t="shared" si="1"/>
        <v>0:00</v>
      </c>
      <c r="L27" s="17"/>
      <c r="M27" s="17"/>
      <c r="N27" s="22"/>
      <c r="O27" s="17"/>
      <c r="P27" s="17"/>
      <c r="Q27" s="17"/>
      <c r="R27" s="24"/>
      <c r="S27" s="23"/>
      <c r="T27" s="15" t="s">
        <v>46</v>
      </c>
      <c r="U27" s="17"/>
      <c r="V27" s="15" t="str">
        <f>IF(ISERROR(VLOOKUP(C27,#REF!,8,0)),"",VLOOKUP(C27,#REF!,8,0))</f>
        <v/>
      </c>
    </row>
    <row r="28" spans="1:22" ht="48.75" customHeight="1" x14ac:dyDescent="0.15">
      <c r="A28" s="13">
        <v>262</v>
      </c>
      <c r="B28" s="14"/>
      <c r="C28" s="14"/>
      <c r="D28" s="15" t="str">
        <f>C28&amp;COUNTIF($C$1:C28,C28)</f>
        <v>0</v>
      </c>
      <c r="E28" s="14"/>
      <c r="F28" s="16"/>
      <c r="G28" s="17"/>
      <c r="H28" s="18"/>
      <c r="J28" s="20" t="str">
        <f t="shared" si="0"/>
        <v>0.1.</v>
      </c>
      <c r="K28" s="15" t="str">
        <f t="shared" si="1"/>
        <v>0:00</v>
      </c>
      <c r="L28" s="17"/>
      <c r="M28" s="17"/>
      <c r="N28" s="22"/>
      <c r="O28" s="17"/>
      <c r="P28" s="17"/>
      <c r="Q28" s="17"/>
      <c r="R28" s="24"/>
      <c r="S28" s="23"/>
      <c r="T28" s="15" t="s">
        <v>46</v>
      </c>
      <c r="U28" s="17"/>
      <c r="V28" s="15" t="str">
        <f>IF(ISERROR(VLOOKUP(C28,#REF!,8,0)),"",VLOOKUP(C28,#REF!,8,0))</f>
        <v/>
      </c>
    </row>
    <row r="29" spans="1:22" ht="48.75" customHeight="1" x14ac:dyDescent="0.15">
      <c r="A29" s="13">
        <v>263</v>
      </c>
      <c r="B29" s="14"/>
      <c r="C29" s="14"/>
      <c r="D29" s="15" t="str">
        <f>C29&amp;COUNTIF($C$1:C29,C29)</f>
        <v>0</v>
      </c>
      <c r="E29" s="14"/>
      <c r="F29" s="16"/>
      <c r="G29" s="17"/>
      <c r="H29" s="18"/>
      <c r="J29" s="20" t="str">
        <f t="shared" si="0"/>
        <v>0.1.</v>
      </c>
      <c r="K29" s="15" t="str">
        <f t="shared" si="1"/>
        <v>0:00</v>
      </c>
      <c r="L29" s="17"/>
      <c r="M29" s="17"/>
      <c r="N29" s="22"/>
      <c r="O29" s="17"/>
      <c r="P29" s="17"/>
      <c r="Q29" s="17"/>
      <c r="R29" s="24"/>
      <c r="S29" s="23"/>
      <c r="T29" s="15" t="s">
        <v>46</v>
      </c>
      <c r="U29" s="17"/>
      <c r="V29" s="15" t="str">
        <f>IF(ISERROR(VLOOKUP(C29,#REF!,8,0)),"",VLOOKUP(C29,#REF!,8,0))</f>
        <v/>
      </c>
    </row>
    <row r="30" spans="1:22" ht="48.75" customHeight="1" x14ac:dyDescent="0.15">
      <c r="A30" s="13">
        <v>264</v>
      </c>
      <c r="B30" s="14"/>
      <c r="C30" s="14"/>
      <c r="D30" s="15" t="str">
        <f>C30&amp;COUNTIF($C$1:C30,C30)</f>
        <v>0</v>
      </c>
      <c r="E30" s="14"/>
      <c r="F30" s="16"/>
      <c r="G30" s="17"/>
      <c r="H30" s="18"/>
      <c r="J30" s="20" t="str">
        <f t="shared" si="0"/>
        <v>0.1.</v>
      </c>
      <c r="K30" s="15" t="str">
        <f t="shared" si="1"/>
        <v>0:00</v>
      </c>
      <c r="L30" s="17"/>
      <c r="M30" s="17"/>
      <c r="N30" s="22"/>
      <c r="O30" s="17"/>
      <c r="P30" s="17"/>
      <c r="Q30" s="17"/>
      <c r="R30" s="24"/>
      <c r="S30" s="23"/>
      <c r="T30" s="15" t="s">
        <v>46</v>
      </c>
      <c r="U30" s="17"/>
      <c r="V30" s="15" t="str">
        <f>IF(ISERROR(VLOOKUP(C30,#REF!,8,0)),"",VLOOKUP(C30,#REF!,8,0))</f>
        <v/>
      </c>
    </row>
    <row r="31" spans="1:22" ht="48.75" customHeight="1" x14ac:dyDescent="0.15">
      <c r="A31" s="13">
        <v>265</v>
      </c>
      <c r="B31" s="14"/>
      <c r="C31" s="14"/>
      <c r="D31" s="15" t="str">
        <f>C31&amp;COUNTIF($C$1:C31,C31)</f>
        <v>0</v>
      </c>
      <c r="E31" s="14"/>
      <c r="F31" s="16"/>
      <c r="G31" s="17"/>
      <c r="H31" s="18"/>
      <c r="J31" s="20" t="str">
        <f t="shared" si="0"/>
        <v>0.1.</v>
      </c>
      <c r="K31" s="15" t="str">
        <f t="shared" si="1"/>
        <v>0:00</v>
      </c>
      <c r="L31" s="17"/>
      <c r="M31" s="17"/>
      <c r="N31" s="22"/>
      <c r="O31" s="17"/>
      <c r="P31" s="17"/>
      <c r="Q31" s="17"/>
      <c r="R31" s="24"/>
      <c r="S31" s="23"/>
      <c r="T31" s="15" t="s">
        <v>46</v>
      </c>
      <c r="U31" s="17"/>
      <c r="V31" s="15" t="str">
        <f>IF(ISERROR(VLOOKUP(C31,#REF!,8,0)),"",VLOOKUP(C31,#REF!,8,0))</f>
        <v/>
      </c>
    </row>
    <row r="32" spans="1:22" ht="48.75" customHeight="1" x14ac:dyDescent="0.15">
      <c r="A32" s="13">
        <v>266</v>
      </c>
      <c r="B32" s="14"/>
      <c r="C32" s="14"/>
      <c r="D32" s="15" t="str">
        <f>C32&amp;COUNTIF($C$1:C32,C32)</f>
        <v>0</v>
      </c>
      <c r="E32" s="14"/>
      <c r="F32" s="16"/>
      <c r="G32" s="17"/>
      <c r="H32" s="18"/>
      <c r="J32" s="20" t="str">
        <f t="shared" si="0"/>
        <v>0.1.</v>
      </c>
      <c r="K32" s="15" t="str">
        <f t="shared" si="1"/>
        <v>0:00</v>
      </c>
      <c r="L32" s="17"/>
      <c r="M32" s="17"/>
      <c r="N32" s="22"/>
      <c r="O32" s="17"/>
      <c r="P32" s="17"/>
      <c r="Q32" s="17"/>
      <c r="R32" s="24"/>
      <c r="S32" s="23"/>
      <c r="T32" s="15" t="s">
        <v>46</v>
      </c>
      <c r="U32" s="17"/>
      <c r="V32" s="15" t="str">
        <f>IF(ISERROR(VLOOKUP(C32,#REF!,8,0)),"",VLOOKUP(C32,#REF!,8,0))</f>
        <v/>
      </c>
    </row>
    <row r="33" spans="1:22" ht="48.75" customHeight="1" x14ac:dyDescent="0.15">
      <c r="A33" s="13">
        <v>267</v>
      </c>
      <c r="B33" s="14"/>
      <c r="C33" s="14"/>
      <c r="D33" s="15" t="str">
        <f>C33&amp;COUNTIF($C$1:C33,C33)</f>
        <v>0</v>
      </c>
      <c r="E33" s="14"/>
      <c r="F33" s="16"/>
      <c r="G33" s="17"/>
      <c r="H33" s="18"/>
      <c r="J33" s="20" t="str">
        <f t="shared" si="0"/>
        <v>0.1.</v>
      </c>
      <c r="K33" s="15" t="str">
        <f t="shared" si="1"/>
        <v>0:00</v>
      </c>
      <c r="L33" s="17"/>
      <c r="M33" s="17"/>
      <c r="N33" s="22"/>
      <c r="O33" s="17"/>
      <c r="P33" s="17"/>
      <c r="Q33" s="17"/>
      <c r="R33" s="24"/>
      <c r="S33" s="23"/>
      <c r="T33" s="15" t="s">
        <v>46</v>
      </c>
      <c r="U33" s="17"/>
      <c r="V33" s="15" t="str">
        <f>IF(ISERROR(VLOOKUP(C33,#REF!,8,0)),"",VLOOKUP(C33,#REF!,8,0))</f>
        <v/>
      </c>
    </row>
    <row r="34" spans="1:22" ht="48.75" customHeight="1" x14ac:dyDescent="0.15">
      <c r="A34" s="13">
        <v>268</v>
      </c>
      <c r="B34" s="14"/>
      <c r="C34" s="14"/>
      <c r="D34" s="15" t="str">
        <f>C34&amp;COUNTIF($C$1:C34,C34)</f>
        <v>0</v>
      </c>
      <c r="E34" s="14"/>
      <c r="F34" s="16"/>
      <c r="G34" s="17"/>
      <c r="H34" s="18"/>
      <c r="J34" s="20" t="str">
        <f t="shared" si="0"/>
        <v>0.1.</v>
      </c>
      <c r="K34" s="15" t="str">
        <f t="shared" si="1"/>
        <v>0:00</v>
      </c>
      <c r="L34" s="17"/>
      <c r="M34" s="17"/>
      <c r="N34" s="22"/>
      <c r="O34" s="17"/>
      <c r="P34" s="17"/>
      <c r="Q34" s="17"/>
      <c r="R34" s="24"/>
      <c r="S34" s="23"/>
      <c r="T34" s="15" t="s">
        <v>46</v>
      </c>
      <c r="U34" s="17"/>
      <c r="V34" s="15" t="str">
        <f>IF(ISERROR(VLOOKUP(C34,#REF!,8,0)),"",VLOOKUP(C34,#REF!,8,0))</f>
        <v/>
      </c>
    </row>
    <row r="35" spans="1:22" ht="48.75" customHeight="1" x14ac:dyDescent="0.15">
      <c r="A35" s="13">
        <v>269</v>
      </c>
      <c r="B35" s="14"/>
      <c r="C35" s="14"/>
      <c r="D35" s="15" t="str">
        <f>C35&amp;COUNTIF($C$1:C35,C35)</f>
        <v>0</v>
      </c>
      <c r="E35" s="14"/>
      <c r="F35" s="16"/>
      <c r="G35" s="17"/>
      <c r="H35" s="18"/>
      <c r="J35" s="20" t="str">
        <f t="shared" si="0"/>
        <v>0.1.</v>
      </c>
      <c r="K35" s="15" t="str">
        <f t="shared" si="1"/>
        <v>0:00</v>
      </c>
      <c r="L35" s="17"/>
      <c r="M35" s="17"/>
      <c r="N35" s="22"/>
      <c r="O35" s="17"/>
      <c r="P35" s="17"/>
      <c r="Q35" s="17"/>
      <c r="R35" s="24"/>
      <c r="S35" s="23"/>
      <c r="T35" s="15" t="s">
        <v>46</v>
      </c>
      <c r="U35" s="17"/>
      <c r="V35" s="15" t="str">
        <f>IF(ISERROR(VLOOKUP(C35,#REF!,8,0)),"",VLOOKUP(C35,#REF!,8,0))</f>
        <v/>
      </c>
    </row>
    <row r="36" spans="1:22" ht="48.75" customHeight="1" x14ac:dyDescent="0.15">
      <c r="A36" s="13">
        <v>270</v>
      </c>
      <c r="B36" s="14"/>
      <c r="C36" s="14"/>
      <c r="D36" s="15" t="str">
        <f>C36&amp;COUNTIF($C$1:C36,C36)</f>
        <v>0</v>
      </c>
      <c r="E36" s="14"/>
      <c r="F36" s="16"/>
      <c r="G36" s="17"/>
      <c r="H36" s="18"/>
      <c r="J36" s="20" t="str">
        <f t="shared" si="0"/>
        <v>0.1.</v>
      </c>
      <c r="K36" s="15" t="str">
        <f t="shared" si="1"/>
        <v>0:00</v>
      </c>
      <c r="L36" s="17"/>
      <c r="M36" s="17"/>
      <c r="N36" s="22"/>
      <c r="O36" s="17"/>
      <c r="P36" s="17"/>
      <c r="Q36" s="17"/>
      <c r="R36" s="24"/>
      <c r="S36" s="23"/>
      <c r="T36" s="15" t="s">
        <v>46</v>
      </c>
      <c r="U36" s="17"/>
      <c r="V36" s="15" t="str">
        <f>IF(ISERROR(VLOOKUP(C36,#REF!,8,0)),"",VLOOKUP(C36,#REF!,8,0))</f>
        <v/>
      </c>
    </row>
    <row r="37" spans="1:22" ht="48.75" customHeight="1" x14ac:dyDescent="0.15">
      <c r="A37" s="13">
        <v>271</v>
      </c>
      <c r="B37" s="14"/>
      <c r="C37" s="14"/>
      <c r="D37" s="15" t="str">
        <f>C37&amp;COUNTIF($C$1:C37,C37)</f>
        <v>0</v>
      </c>
      <c r="E37" s="14"/>
      <c r="F37" s="16"/>
      <c r="G37" s="17"/>
      <c r="H37" s="18"/>
      <c r="J37" s="20" t="str">
        <f t="shared" si="0"/>
        <v>0.1.</v>
      </c>
      <c r="K37" s="15" t="str">
        <f t="shared" si="1"/>
        <v>0:00</v>
      </c>
      <c r="L37" s="17"/>
      <c r="M37" s="17"/>
      <c r="N37" s="22"/>
      <c r="O37" s="17"/>
      <c r="P37" s="17"/>
      <c r="Q37" s="17"/>
      <c r="R37" s="24"/>
      <c r="S37" s="23"/>
      <c r="T37" s="15" t="s">
        <v>46</v>
      </c>
      <c r="U37" s="17"/>
      <c r="V37" s="15" t="str">
        <f>IF(ISERROR(VLOOKUP(C37,#REF!,8,0)),"",VLOOKUP(C37,#REF!,8,0))</f>
        <v/>
      </c>
    </row>
    <row r="38" spans="1:22" ht="48.75" customHeight="1" x14ac:dyDescent="0.15">
      <c r="A38" s="13">
        <v>272</v>
      </c>
      <c r="B38" s="14"/>
      <c r="C38" s="14"/>
      <c r="D38" s="15" t="str">
        <f>C38&amp;COUNTIF($C$1:C38,C38)</f>
        <v>0</v>
      </c>
      <c r="E38" s="14"/>
      <c r="F38" s="16"/>
      <c r="G38" s="17"/>
      <c r="H38" s="18"/>
      <c r="J38" s="20" t="str">
        <f t="shared" si="0"/>
        <v>0.1.</v>
      </c>
      <c r="K38" s="15" t="str">
        <f t="shared" si="1"/>
        <v>0:00</v>
      </c>
      <c r="L38" s="17"/>
      <c r="M38" s="17"/>
      <c r="N38" s="22"/>
      <c r="O38" s="17"/>
      <c r="P38" s="17"/>
      <c r="Q38" s="17"/>
      <c r="R38" s="24"/>
      <c r="S38" s="23"/>
      <c r="T38" s="15" t="s">
        <v>46</v>
      </c>
      <c r="U38" s="17"/>
      <c r="V38" s="15" t="str">
        <f>IF(ISERROR(VLOOKUP(C38,#REF!,8,0)),"",VLOOKUP(C38,#REF!,8,0))</f>
        <v/>
      </c>
    </row>
    <row r="39" spans="1:22" ht="48.75" customHeight="1" x14ac:dyDescent="0.15">
      <c r="A39" s="13">
        <v>273</v>
      </c>
      <c r="B39" s="14"/>
      <c r="C39" s="14"/>
      <c r="D39" s="15" t="str">
        <f>C39&amp;COUNTIF($C$1:C39,C39)</f>
        <v>0</v>
      </c>
      <c r="E39" s="14"/>
      <c r="F39" s="16"/>
      <c r="G39" s="17"/>
      <c r="H39" s="18"/>
      <c r="J39" s="20" t="str">
        <f t="shared" si="0"/>
        <v>0.1.</v>
      </c>
      <c r="K39" s="15" t="str">
        <f t="shared" si="1"/>
        <v>0:00</v>
      </c>
      <c r="L39" s="17"/>
      <c r="M39" s="17"/>
      <c r="N39" s="22"/>
      <c r="O39" s="17"/>
      <c r="P39" s="17"/>
      <c r="Q39" s="17"/>
      <c r="R39" s="24"/>
      <c r="S39" s="23"/>
      <c r="T39" s="15" t="s">
        <v>46</v>
      </c>
      <c r="U39" s="17"/>
      <c r="V39" s="15" t="str">
        <f>IF(ISERROR(VLOOKUP(C39,#REF!,8,0)),"",VLOOKUP(C39,#REF!,8,0))</f>
        <v/>
      </c>
    </row>
    <row r="40" spans="1:22" ht="48.75" customHeight="1" x14ac:dyDescent="0.15">
      <c r="A40" s="13">
        <v>274</v>
      </c>
      <c r="B40" s="14"/>
      <c r="C40" s="14"/>
      <c r="D40" s="15" t="str">
        <f>C40&amp;COUNTIF($C$1:C40,C40)</f>
        <v>0</v>
      </c>
      <c r="E40" s="14"/>
      <c r="F40" s="16"/>
      <c r="G40" s="17"/>
      <c r="H40" s="18"/>
      <c r="J40" s="20" t="str">
        <f t="shared" si="0"/>
        <v>0.1.</v>
      </c>
      <c r="K40" s="15" t="str">
        <f t="shared" si="1"/>
        <v>0:00</v>
      </c>
      <c r="L40" s="17"/>
      <c r="M40" s="17"/>
      <c r="N40" s="22"/>
      <c r="O40" s="17"/>
      <c r="P40" s="17"/>
      <c r="Q40" s="17"/>
      <c r="R40" s="24"/>
      <c r="S40" s="23"/>
      <c r="T40" s="15" t="s">
        <v>46</v>
      </c>
      <c r="U40" s="17"/>
      <c r="V40" s="15" t="str">
        <f>IF(ISERROR(VLOOKUP(C40,#REF!,8,0)),"",VLOOKUP(C40,#REF!,8,0))</f>
        <v/>
      </c>
    </row>
    <row r="41" spans="1:22" ht="48.75" customHeight="1" x14ac:dyDescent="0.15">
      <c r="A41" s="13">
        <v>275</v>
      </c>
      <c r="B41" s="14"/>
      <c r="C41" s="14"/>
      <c r="D41" s="15" t="str">
        <f>C41&amp;COUNTIF($C$1:C41,C41)</f>
        <v>0</v>
      </c>
      <c r="E41" s="14"/>
      <c r="F41" s="16"/>
      <c r="G41" s="17"/>
      <c r="H41" s="18"/>
      <c r="J41" s="20" t="str">
        <f t="shared" si="0"/>
        <v>0.1.</v>
      </c>
      <c r="K41" s="15" t="str">
        <f t="shared" si="1"/>
        <v>0:00</v>
      </c>
      <c r="L41" s="17"/>
      <c r="M41" s="17"/>
      <c r="N41" s="22"/>
      <c r="O41" s="17"/>
      <c r="P41" s="17"/>
      <c r="Q41" s="17"/>
      <c r="R41" s="24"/>
      <c r="S41" s="23"/>
      <c r="T41" s="15" t="s">
        <v>46</v>
      </c>
      <c r="U41" s="17"/>
      <c r="V41" s="15" t="str">
        <f>IF(ISERROR(VLOOKUP(C41,#REF!,8,0)),"",VLOOKUP(C41,#REF!,8,0))</f>
        <v/>
      </c>
    </row>
    <row r="42" spans="1:22" ht="48.75" customHeight="1" x14ac:dyDescent="0.15">
      <c r="A42" s="13">
        <v>276</v>
      </c>
      <c r="B42" s="14"/>
      <c r="C42" s="14"/>
      <c r="D42" s="15" t="str">
        <f>C42&amp;COUNTIF($C$1:C42,C42)</f>
        <v>0</v>
      </c>
      <c r="E42" s="14"/>
      <c r="F42" s="16"/>
      <c r="G42" s="17"/>
      <c r="H42" s="18"/>
      <c r="J42" s="20" t="str">
        <f t="shared" si="0"/>
        <v>0.1.</v>
      </c>
      <c r="K42" s="15" t="str">
        <f t="shared" si="1"/>
        <v>0:00</v>
      </c>
      <c r="L42" s="17"/>
      <c r="M42" s="17"/>
      <c r="N42" s="22"/>
      <c r="O42" s="17"/>
      <c r="P42" s="17"/>
      <c r="Q42" s="17"/>
      <c r="R42" s="24"/>
      <c r="S42" s="23"/>
      <c r="T42" s="15" t="s">
        <v>46</v>
      </c>
      <c r="U42" s="17"/>
      <c r="V42" s="15" t="str">
        <f>IF(ISERROR(VLOOKUP(C42,#REF!,8,0)),"",VLOOKUP(C42,#REF!,8,0))</f>
        <v/>
      </c>
    </row>
    <row r="43" spans="1:22" ht="48.75" customHeight="1" x14ac:dyDescent="0.15">
      <c r="A43" s="13">
        <v>277</v>
      </c>
      <c r="B43" s="14"/>
      <c r="C43" s="14"/>
      <c r="D43" s="15" t="str">
        <f>C43&amp;COUNTIF($C$1:C43,C43)</f>
        <v>0</v>
      </c>
      <c r="E43" s="14"/>
      <c r="F43" s="16"/>
      <c r="G43" s="17"/>
      <c r="H43" s="18"/>
      <c r="J43" s="20" t="str">
        <f t="shared" si="0"/>
        <v>0.1.</v>
      </c>
      <c r="K43" s="15" t="str">
        <f t="shared" si="1"/>
        <v>0:00</v>
      </c>
      <c r="L43" s="17"/>
      <c r="M43" s="17"/>
      <c r="N43" s="22"/>
      <c r="O43" s="17"/>
      <c r="P43" s="17"/>
      <c r="Q43" s="17"/>
      <c r="R43" s="24"/>
      <c r="S43" s="23"/>
      <c r="T43" s="15" t="s">
        <v>46</v>
      </c>
      <c r="U43" s="17"/>
      <c r="V43" s="15" t="str">
        <f>IF(ISERROR(VLOOKUP(C43,#REF!,8,0)),"",VLOOKUP(C43,#REF!,8,0))</f>
        <v/>
      </c>
    </row>
    <row r="44" spans="1:22" ht="48.75" customHeight="1" x14ac:dyDescent="0.15">
      <c r="A44" s="13">
        <v>278</v>
      </c>
      <c r="B44" s="14"/>
      <c r="C44" s="14"/>
      <c r="D44" s="15" t="str">
        <f>C44&amp;COUNTIF($C$1:C44,C44)</f>
        <v>0</v>
      </c>
      <c r="E44" s="14"/>
      <c r="F44" s="16"/>
      <c r="G44" s="17"/>
      <c r="H44" s="18"/>
      <c r="J44" s="20" t="str">
        <f t="shared" si="0"/>
        <v>0.1.</v>
      </c>
      <c r="K44" s="15" t="str">
        <f t="shared" si="1"/>
        <v>0:00</v>
      </c>
      <c r="L44" s="17"/>
      <c r="M44" s="17"/>
      <c r="N44" s="22"/>
      <c r="O44" s="17"/>
      <c r="P44" s="17"/>
      <c r="Q44" s="17"/>
      <c r="R44" s="24"/>
      <c r="S44" s="23"/>
      <c r="T44" s="15" t="s">
        <v>46</v>
      </c>
      <c r="U44" s="17"/>
      <c r="V44" s="15" t="str">
        <f>IF(ISERROR(VLOOKUP(C44,#REF!,8,0)),"",VLOOKUP(C44,#REF!,8,0))</f>
        <v/>
      </c>
    </row>
    <row r="45" spans="1:22" ht="48.75" customHeight="1" x14ac:dyDescent="0.15">
      <c r="A45" s="13">
        <v>279</v>
      </c>
      <c r="B45" s="14"/>
      <c r="C45" s="14"/>
      <c r="D45" s="15" t="str">
        <f>C45&amp;COUNTIF($C$1:C45,C45)</f>
        <v>0</v>
      </c>
      <c r="E45" s="14"/>
      <c r="F45" s="16"/>
      <c r="G45" s="17"/>
      <c r="H45" s="18"/>
      <c r="J45" s="20" t="str">
        <f t="shared" si="0"/>
        <v>0.1.</v>
      </c>
      <c r="K45" s="15" t="str">
        <f t="shared" si="1"/>
        <v>0:00</v>
      </c>
      <c r="L45" s="17"/>
      <c r="M45" s="17"/>
      <c r="N45" s="22"/>
      <c r="O45" s="17"/>
      <c r="P45" s="17"/>
      <c r="Q45" s="17"/>
      <c r="R45" s="24"/>
      <c r="S45" s="23"/>
      <c r="T45" s="15" t="s">
        <v>46</v>
      </c>
      <c r="U45" s="17"/>
      <c r="V45" s="15" t="str">
        <f>IF(ISERROR(VLOOKUP(C45,#REF!,8,0)),"",VLOOKUP(C45,#REF!,8,0))</f>
        <v/>
      </c>
    </row>
    <row r="46" spans="1:22" ht="48.75" customHeight="1" x14ac:dyDescent="0.15">
      <c r="A46" s="13">
        <v>280</v>
      </c>
      <c r="B46" s="14"/>
      <c r="C46" s="14"/>
      <c r="D46" s="15" t="str">
        <f>C46&amp;COUNTIF($C$1:C46,C46)</f>
        <v>0</v>
      </c>
      <c r="E46" s="14"/>
      <c r="F46" s="16"/>
      <c r="G46" s="17"/>
      <c r="H46" s="18"/>
      <c r="J46" s="20" t="str">
        <f t="shared" si="0"/>
        <v>0.1.</v>
      </c>
      <c r="K46" s="15" t="str">
        <f t="shared" si="1"/>
        <v>0:00</v>
      </c>
      <c r="L46" s="17"/>
      <c r="M46" s="17"/>
      <c r="N46" s="22"/>
      <c r="O46" s="17"/>
      <c r="P46" s="17"/>
      <c r="Q46" s="17"/>
      <c r="R46" s="24"/>
      <c r="S46" s="23"/>
      <c r="T46" s="15" t="s">
        <v>46</v>
      </c>
      <c r="U46" s="17"/>
      <c r="V46" s="15" t="str">
        <f>IF(ISERROR(VLOOKUP(C46,#REF!,8,0)),"",VLOOKUP(C46,#REF!,8,0))</f>
        <v/>
      </c>
    </row>
    <row r="47" spans="1:22" ht="48.75" customHeight="1" x14ac:dyDescent="0.15">
      <c r="A47" s="13">
        <v>281</v>
      </c>
      <c r="B47" s="14"/>
      <c r="C47" s="14"/>
      <c r="D47" s="15" t="str">
        <f>C47&amp;COUNTIF($C$1:C47,C47)</f>
        <v>0</v>
      </c>
      <c r="E47" s="14"/>
      <c r="F47" s="16"/>
      <c r="G47" s="17"/>
      <c r="H47" s="18"/>
      <c r="J47" s="20" t="str">
        <f t="shared" si="0"/>
        <v>0.1.</v>
      </c>
      <c r="K47" s="15" t="str">
        <f t="shared" si="1"/>
        <v>0:00</v>
      </c>
      <c r="L47" s="17"/>
      <c r="M47" s="17"/>
      <c r="N47" s="22"/>
      <c r="O47" s="17"/>
      <c r="P47" s="17"/>
      <c r="Q47" s="17"/>
      <c r="R47" s="24"/>
      <c r="S47" s="23"/>
      <c r="T47" s="15" t="s">
        <v>46</v>
      </c>
      <c r="U47" s="17"/>
      <c r="V47" s="15" t="str">
        <f>IF(ISERROR(VLOOKUP(C47,#REF!,8,0)),"",VLOOKUP(C47,#REF!,8,0))</f>
        <v/>
      </c>
    </row>
    <row r="48" spans="1:22" ht="48.75" customHeight="1" x14ac:dyDescent="0.15">
      <c r="A48" s="13">
        <v>282</v>
      </c>
      <c r="B48" s="14"/>
      <c r="C48" s="14"/>
      <c r="D48" s="15" t="str">
        <f>C48&amp;COUNTIF($C$1:C48,C48)</f>
        <v>0</v>
      </c>
      <c r="E48" s="14"/>
      <c r="F48" s="16"/>
      <c r="G48" s="17"/>
      <c r="H48" s="18"/>
      <c r="J48" s="20" t="str">
        <f t="shared" si="0"/>
        <v>0.1.</v>
      </c>
      <c r="K48" s="15" t="str">
        <f t="shared" si="1"/>
        <v>0:00</v>
      </c>
      <c r="L48" s="17"/>
      <c r="M48" s="17"/>
      <c r="N48" s="22"/>
      <c r="O48" s="17"/>
      <c r="P48" s="17"/>
      <c r="Q48" s="17"/>
      <c r="R48" s="24"/>
      <c r="S48" s="23"/>
      <c r="T48" s="15" t="s">
        <v>46</v>
      </c>
      <c r="U48" s="17"/>
      <c r="V48" s="15" t="str">
        <f>IF(ISERROR(VLOOKUP(C48,#REF!,8,0)),"",VLOOKUP(C48,#REF!,8,0))</f>
        <v/>
      </c>
    </row>
    <row r="49" spans="1:22" ht="48.75" customHeight="1" x14ac:dyDescent="0.15">
      <c r="A49" s="13">
        <v>283</v>
      </c>
      <c r="B49" s="14"/>
      <c r="C49" s="14"/>
      <c r="D49" s="15" t="str">
        <f>C49&amp;COUNTIF($C$1:C49,C49)</f>
        <v>0</v>
      </c>
      <c r="E49" s="14"/>
      <c r="F49" s="16"/>
      <c r="G49" s="17"/>
      <c r="H49" s="18"/>
      <c r="J49" s="20" t="str">
        <f t="shared" si="0"/>
        <v>0.1.</v>
      </c>
      <c r="K49" s="15" t="str">
        <f t="shared" si="1"/>
        <v>0:00</v>
      </c>
      <c r="L49" s="17"/>
      <c r="M49" s="17"/>
      <c r="N49" s="22"/>
      <c r="O49" s="17"/>
      <c r="P49" s="17"/>
      <c r="Q49" s="17"/>
      <c r="R49" s="24"/>
      <c r="S49" s="23"/>
      <c r="T49" s="15" t="s">
        <v>46</v>
      </c>
      <c r="U49" s="17"/>
      <c r="V49" s="15" t="str">
        <f>IF(ISERROR(VLOOKUP(C49,#REF!,8,0)),"",VLOOKUP(C49,#REF!,8,0))</f>
        <v/>
      </c>
    </row>
    <row r="50" spans="1:22" ht="48.75" customHeight="1" x14ac:dyDescent="0.15">
      <c r="A50" s="13">
        <v>284</v>
      </c>
      <c r="B50" s="14"/>
      <c r="C50" s="14"/>
      <c r="D50" s="15" t="str">
        <f>C50&amp;COUNTIF($C$1:C50,C50)</f>
        <v>0</v>
      </c>
      <c r="E50" s="14"/>
      <c r="F50" s="16"/>
      <c r="G50" s="17"/>
      <c r="H50" s="18"/>
      <c r="J50" s="20" t="str">
        <f t="shared" si="0"/>
        <v>0.1.</v>
      </c>
      <c r="K50" s="15" t="str">
        <f t="shared" si="1"/>
        <v>0:00</v>
      </c>
      <c r="L50" s="17"/>
      <c r="M50" s="17"/>
      <c r="N50" s="22"/>
      <c r="O50" s="17"/>
      <c r="P50" s="17"/>
      <c r="Q50" s="17"/>
      <c r="R50" s="24"/>
      <c r="S50" s="23"/>
      <c r="T50" s="15" t="s">
        <v>46</v>
      </c>
      <c r="U50" s="17"/>
      <c r="V50" s="15" t="str">
        <f>IF(ISERROR(VLOOKUP(C50,#REF!,8,0)),"",VLOOKUP(C50,#REF!,8,0))</f>
        <v/>
      </c>
    </row>
    <row r="51" spans="1:22" ht="48.75" customHeight="1" x14ac:dyDescent="0.15">
      <c r="A51" s="13">
        <v>285</v>
      </c>
      <c r="B51" s="14"/>
      <c r="C51" s="14"/>
      <c r="D51" s="15" t="str">
        <f>C51&amp;COUNTIF($C$1:C51,C51)</f>
        <v>0</v>
      </c>
      <c r="E51" s="14"/>
      <c r="F51" s="16"/>
      <c r="G51" s="17"/>
      <c r="H51" s="18"/>
      <c r="J51" s="20" t="str">
        <f t="shared" si="0"/>
        <v>0.1.</v>
      </c>
      <c r="K51" s="15" t="str">
        <f t="shared" si="1"/>
        <v>0:00</v>
      </c>
      <c r="L51" s="17"/>
      <c r="M51" s="17"/>
      <c r="N51" s="22"/>
      <c r="O51" s="17"/>
      <c r="P51" s="17"/>
      <c r="Q51" s="17"/>
      <c r="R51" s="24"/>
      <c r="S51" s="23"/>
      <c r="T51" s="15" t="s">
        <v>46</v>
      </c>
      <c r="U51" s="17"/>
      <c r="V51" s="15" t="str">
        <f>IF(ISERROR(VLOOKUP(C51,#REF!,8,0)),"",VLOOKUP(C51,#REF!,8,0))</f>
        <v/>
      </c>
    </row>
    <row r="52" spans="1:22" ht="48.75" customHeight="1" x14ac:dyDescent="0.15">
      <c r="A52" s="13">
        <v>286</v>
      </c>
      <c r="B52" s="14"/>
      <c r="C52" s="14"/>
      <c r="D52" s="15" t="str">
        <f>C52&amp;COUNTIF($C$1:C52,C52)</f>
        <v>0</v>
      </c>
      <c r="E52" s="14"/>
      <c r="F52" s="16"/>
      <c r="G52" s="17"/>
      <c r="H52" s="18"/>
      <c r="J52" s="20" t="str">
        <f t="shared" si="0"/>
        <v>0.1.</v>
      </c>
      <c r="K52" s="15" t="str">
        <f t="shared" si="1"/>
        <v>0:00</v>
      </c>
      <c r="L52" s="17"/>
      <c r="M52" s="17"/>
      <c r="N52" s="22"/>
      <c r="O52" s="17"/>
      <c r="P52" s="17"/>
      <c r="Q52" s="17"/>
      <c r="R52" s="24"/>
      <c r="S52" s="23"/>
      <c r="T52" s="15" t="s">
        <v>46</v>
      </c>
      <c r="U52" s="17"/>
      <c r="V52" s="15" t="str">
        <f>IF(ISERROR(VLOOKUP(C52,#REF!,8,0)),"",VLOOKUP(C52,#REF!,8,0))</f>
        <v/>
      </c>
    </row>
    <row r="53" spans="1:22" ht="48.75" customHeight="1" x14ac:dyDescent="0.15">
      <c r="A53" s="13">
        <v>287</v>
      </c>
      <c r="B53" s="14"/>
      <c r="C53" s="14"/>
      <c r="D53" s="15" t="str">
        <f>C53&amp;COUNTIF($C$1:C53,C53)</f>
        <v>0</v>
      </c>
      <c r="E53" s="14"/>
      <c r="F53" s="16"/>
      <c r="G53" s="17"/>
      <c r="H53" s="18"/>
      <c r="J53" s="20" t="str">
        <f t="shared" si="0"/>
        <v>0.1.</v>
      </c>
      <c r="K53" s="15" t="str">
        <f t="shared" si="1"/>
        <v>0:00</v>
      </c>
      <c r="L53" s="17"/>
      <c r="M53" s="17"/>
      <c r="N53" s="22"/>
      <c r="O53" s="17"/>
      <c r="P53" s="17"/>
      <c r="Q53" s="17"/>
      <c r="R53" s="24"/>
      <c r="S53" s="23"/>
      <c r="T53" s="15" t="s">
        <v>46</v>
      </c>
      <c r="U53" s="17"/>
      <c r="V53" s="15" t="str">
        <f>IF(ISERROR(VLOOKUP(C53,#REF!,8,0)),"",VLOOKUP(C53,#REF!,8,0))</f>
        <v/>
      </c>
    </row>
    <row r="54" spans="1:22" ht="48.75" customHeight="1" x14ac:dyDescent="0.15">
      <c r="A54" s="13">
        <v>288</v>
      </c>
      <c r="B54" s="14"/>
      <c r="C54" s="14"/>
      <c r="D54" s="15" t="str">
        <f>C54&amp;COUNTIF($C$1:C54,C54)</f>
        <v>0</v>
      </c>
      <c r="E54" s="14"/>
      <c r="F54" s="16"/>
      <c r="G54" s="17"/>
      <c r="H54" s="18"/>
      <c r="J54" s="20" t="str">
        <f t="shared" si="0"/>
        <v>0.1.</v>
      </c>
      <c r="K54" s="15" t="str">
        <f t="shared" si="1"/>
        <v>0:00</v>
      </c>
      <c r="L54" s="17"/>
      <c r="M54" s="17"/>
      <c r="N54" s="22"/>
      <c r="O54" s="17"/>
      <c r="P54" s="17"/>
      <c r="Q54" s="17"/>
      <c r="R54" s="24"/>
      <c r="S54" s="23"/>
      <c r="T54" s="15" t="s">
        <v>46</v>
      </c>
      <c r="U54" s="17"/>
      <c r="V54" s="15" t="str">
        <f>IF(ISERROR(VLOOKUP(C54,#REF!,8,0)),"",VLOOKUP(C54,#REF!,8,0))</f>
        <v/>
      </c>
    </row>
    <row r="55" spans="1:22" ht="48.75" customHeight="1" x14ac:dyDescent="0.15">
      <c r="A55" s="13">
        <v>289</v>
      </c>
      <c r="B55" s="14"/>
      <c r="C55" s="14"/>
      <c r="D55" s="15" t="str">
        <f>C55&amp;COUNTIF($C$1:C55,C55)</f>
        <v>0</v>
      </c>
      <c r="E55" s="14"/>
      <c r="F55" s="16"/>
      <c r="G55" s="17"/>
      <c r="H55" s="18"/>
      <c r="J55" s="20" t="str">
        <f t="shared" si="0"/>
        <v>0.1.</v>
      </c>
      <c r="K55" s="15" t="str">
        <f t="shared" si="1"/>
        <v>0:00</v>
      </c>
      <c r="L55" s="17"/>
      <c r="M55" s="17"/>
      <c r="N55" s="22"/>
      <c r="O55" s="17"/>
      <c r="P55" s="17"/>
      <c r="Q55" s="17"/>
      <c r="R55" s="24"/>
      <c r="S55" s="23"/>
      <c r="T55" s="15" t="s">
        <v>46</v>
      </c>
      <c r="U55" s="17"/>
      <c r="V55" s="15" t="str">
        <f>IF(ISERROR(VLOOKUP(C55,#REF!,8,0)),"",VLOOKUP(C55,#REF!,8,0))</f>
        <v/>
      </c>
    </row>
    <row r="56" spans="1:22" ht="48.75" customHeight="1" x14ac:dyDescent="0.15">
      <c r="A56" s="13">
        <v>290</v>
      </c>
      <c r="B56" s="14"/>
      <c r="C56" s="14"/>
      <c r="D56" s="15" t="str">
        <f>C56&amp;COUNTIF($C$1:C56,C56)</f>
        <v>0</v>
      </c>
      <c r="E56" s="14"/>
      <c r="F56" s="16"/>
      <c r="G56" s="17"/>
      <c r="H56" s="18"/>
      <c r="J56" s="20" t="str">
        <f t="shared" si="0"/>
        <v>0.1.</v>
      </c>
      <c r="K56" s="15" t="str">
        <f t="shared" si="1"/>
        <v>0:00</v>
      </c>
      <c r="L56" s="17"/>
      <c r="M56" s="17"/>
      <c r="N56" s="22"/>
      <c r="O56" s="17"/>
      <c r="P56" s="17"/>
      <c r="Q56" s="17"/>
      <c r="R56" s="24"/>
      <c r="S56" s="23"/>
      <c r="T56" s="15" t="s">
        <v>46</v>
      </c>
      <c r="U56" s="17"/>
      <c r="V56" s="15" t="str">
        <f>IF(ISERROR(VLOOKUP(C56,#REF!,8,0)),"",VLOOKUP(C56,#REF!,8,0))</f>
        <v/>
      </c>
    </row>
    <row r="57" spans="1:22" ht="48.75" customHeight="1" x14ac:dyDescent="0.15">
      <c r="A57" s="13">
        <v>291</v>
      </c>
      <c r="B57" s="14"/>
      <c r="C57" s="14"/>
      <c r="D57" s="15" t="str">
        <f>C57&amp;COUNTIF($C$1:C57,C57)</f>
        <v>0</v>
      </c>
      <c r="E57" s="14"/>
      <c r="F57" s="16"/>
      <c r="G57" s="17"/>
      <c r="H57" s="18"/>
      <c r="J57" s="20" t="str">
        <f t="shared" si="0"/>
        <v>0.1.</v>
      </c>
      <c r="K57" s="15" t="str">
        <f t="shared" si="1"/>
        <v>0:00</v>
      </c>
      <c r="L57" s="17"/>
      <c r="M57" s="17"/>
      <c r="N57" s="22"/>
      <c r="O57" s="17"/>
      <c r="P57" s="17"/>
      <c r="Q57" s="17"/>
      <c r="R57" s="24"/>
      <c r="S57" s="23"/>
      <c r="T57" s="15" t="s">
        <v>46</v>
      </c>
      <c r="U57" s="17"/>
      <c r="V57" s="15" t="str">
        <f>IF(ISERROR(VLOOKUP(C57,#REF!,8,0)),"",VLOOKUP(C57,#REF!,8,0))</f>
        <v/>
      </c>
    </row>
    <row r="58" spans="1:22" ht="48.75" customHeight="1" x14ac:dyDescent="0.15">
      <c r="A58" s="13">
        <v>292</v>
      </c>
      <c r="B58" s="14"/>
      <c r="C58" s="14"/>
      <c r="D58" s="15" t="str">
        <f>C58&amp;COUNTIF($C$1:C58,C58)</f>
        <v>0</v>
      </c>
      <c r="E58" s="14"/>
      <c r="F58" s="16"/>
      <c r="G58" s="17"/>
      <c r="H58" s="18"/>
      <c r="J58" s="20" t="str">
        <f t="shared" si="0"/>
        <v>0.1.</v>
      </c>
      <c r="K58" s="15" t="str">
        <f t="shared" si="1"/>
        <v>0:00</v>
      </c>
      <c r="L58" s="17"/>
      <c r="M58" s="17"/>
      <c r="N58" s="22"/>
      <c r="O58" s="17"/>
      <c r="P58" s="17"/>
      <c r="Q58" s="17"/>
      <c r="R58" s="24"/>
      <c r="S58" s="23"/>
      <c r="T58" s="15" t="s">
        <v>46</v>
      </c>
      <c r="U58" s="17"/>
      <c r="V58" s="15" t="str">
        <f>IF(ISERROR(VLOOKUP(C58,#REF!,8,0)),"",VLOOKUP(C58,#REF!,8,0))</f>
        <v/>
      </c>
    </row>
    <row r="59" spans="1:22" ht="48.75" customHeight="1" x14ac:dyDescent="0.15">
      <c r="A59" s="13">
        <v>293</v>
      </c>
      <c r="B59" s="14"/>
      <c r="C59" s="14"/>
      <c r="D59" s="15" t="str">
        <f>C59&amp;COUNTIF($C$1:C59,C59)</f>
        <v>0</v>
      </c>
      <c r="E59" s="14"/>
      <c r="F59" s="16"/>
      <c r="G59" s="17"/>
      <c r="H59" s="18"/>
      <c r="J59" s="20" t="str">
        <f t="shared" si="0"/>
        <v>0.1.</v>
      </c>
      <c r="K59" s="15" t="str">
        <f t="shared" si="1"/>
        <v>0:00</v>
      </c>
      <c r="L59" s="17"/>
      <c r="M59" s="17"/>
      <c r="N59" s="22"/>
      <c r="O59" s="17"/>
      <c r="P59" s="17"/>
      <c r="Q59" s="17"/>
      <c r="R59" s="24"/>
      <c r="S59" s="23"/>
      <c r="T59" s="15" t="s">
        <v>46</v>
      </c>
      <c r="U59" s="17"/>
      <c r="V59" s="15" t="str">
        <f>IF(ISERROR(VLOOKUP(C59,#REF!,8,0)),"",VLOOKUP(C59,#REF!,8,0))</f>
        <v/>
      </c>
    </row>
    <row r="60" spans="1:22" ht="48.75" customHeight="1" x14ac:dyDescent="0.15">
      <c r="A60" s="13">
        <v>294</v>
      </c>
      <c r="B60" s="14"/>
      <c r="C60" s="14"/>
      <c r="D60" s="15" t="str">
        <f>C60&amp;COUNTIF($C$1:C60,C60)</f>
        <v>0</v>
      </c>
      <c r="E60" s="14"/>
      <c r="F60" s="16"/>
      <c r="G60" s="17"/>
      <c r="H60" s="18"/>
      <c r="J60" s="20" t="str">
        <f t="shared" si="0"/>
        <v>0.1.</v>
      </c>
      <c r="K60" s="15" t="str">
        <f t="shared" si="1"/>
        <v>0:00</v>
      </c>
      <c r="L60" s="17"/>
      <c r="M60" s="17"/>
      <c r="N60" s="22"/>
      <c r="O60" s="17"/>
      <c r="P60" s="17"/>
      <c r="Q60" s="17"/>
      <c r="R60" s="24"/>
      <c r="S60" s="23"/>
      <c r="T60" s="15" t="s">
        <v>46</v>
      </c>
      <c r="U60" s="17"/>
      <c r="V60" s="15" t="str">
        <f>IF(ISERROR(VLOOKUP(C60,#REF!,8,0)),"",VLOOKUP(C60,#REF!,8,0))</f>
        <v/>
      </c>
    </row>
    <row r="61" spans="1:22" ht="48.75" customHeight="1" x14ac:dyDescent="0.15">
      <c r="A61" s="13">
        <v>295</v>
      </c>
      <c r="B61" s="14"/>
      <c r="C61" s="14"/>
      <c r="D61" s="15" t="str">
        <f>C61&amp;COUNTIF($C$1:C61,C61)</f>
        <v>0</v>
      </c>
      <c r="E61" s="14"/>
      <c r="F61" s="16"/>
      <c r="G61" s="17"/>
      <c r="H61" s="18"/>
      <c r="J61" s="20" t="str">
        <f t="shared" si="0"/>
        <v>0.1.</v>
      </c>
      <c r="K61" s="15" t="str">
        <f t="shared" si="1"/>
        <v>0:00</v>
      </c>
      <c r="L61" s="17"/>
      <c r="M61" s="17"/>
      <c r="N61" s="22"/>
      <c r="O61" s="17"/>
      <c r="P61" s="17"/>
      <c r="Q61" s="17"/>
      <c r="R61" s="24"/>
      <c r="S61" s="23"/>
      <c r="T61" s="15" t="s">
        <v>46</v>
      </c>
      <c r="U61" s="17"/>
      <c r="V61" s="15" t="str">
        <f>IF(ISERROR(VLOOKUP(C61,#REF!,8,0)),"",VLOOKUP(C61,#REF!,8,0))</f>
        <v/>
      </c>
    </row>
    <row r="62" spans="1:22" ht="48.75" customHeight="1" x14ac:dyDescent="0.15">
      <c r="A62" s="13">
        <v>296</v>
      </c>
      <c r="B62" s="14"/>
      <c r="C62" s="14"/>
      <c r="D62" s="15" t="str">
        <f>C62&amp;COUNTIF($C$1:C62,C62)</f>
        <v>0</v>
      </c>
      <c r="E62" s="14"/>
      <c r="F62" s="16"/>
      <c r="G62" s="17"/>
      <c r="H62" s="18"/>
      <c r="J62" s="20" t="str">
        <f t="shared" si="0"/>
        <v>0.1.</v>
      </c>
      <c r="K62" s="15" t="str">
        <f t="shared" si="1"/>
        <v>0:00</v>
      </c>
      <c r="L62" s="17"/>
      <c r="M62" s="17"/>
      <c r="N62" s="22"/>
      <c r="O62" s="17"/>
      <c r="P62" s="17"/>
      <c r="Q62" s="17"/>
      <c r="R62" s="24"/>
      <c r="S62" s="23"/>
      <c r="T62" s="15" t="s">
        <v>46</v>
      </c>
      <c r="U62" s="17"/>
      <c r="V62" s="15" t="str">
        <f>IF(ISERROR(VLOOKUP(C62,#REF!,8,0)),"",VLOOKUP(C62,#REF!,8,0))</f>
        <v/>
      </c>
    </row>
    <row r="63" spans="1:22" ht="48.75" customHeight="1" x14ac:dyDescent="0.15">
      <c r="A63" s="13">
        <v>297</v>
      </c>
      <c r="B63" s="14"/>
      <c r="C63" s="14"/>
      <c r="D63" s="15" t="str">
        <f>C63&amp;COUNTIF($C$1:C63,C63)</f>
        <v>0</v>
      </c>
      <c r="E63" s="14"/>
      <c r="F63" s="16"/>
      <c r="G63" s="17"/>
      <c r="H63" s="18"/>
      <c r="J63" s="20" t="str">
        <f t="shared" si="0"/>
        <v>0.1.</v>
      </c>
      <c r="K63" s="15" t="str">
        <f t="shared" si="1"/>
        <v>0:00</v>
      </c>
      <c r="L63" s="17"/>
      <c r="M63" s="17"/>
      <c r="N63" s="22"/>
      <c r="O63" s="17"/>
      <c r="P63" s="17"/>
      <c r="Q63" s="17"/>
      <c r="R63" s="24"/>
      <c r="S63" s="23"/>
      <c r="T63" s="15" t="s">
        <v>46</v>
      </c>
      <c r="U63" s="17"/>
      <c r="V63" s="15" t="str">
        <f>IF(ISERROR(VLOOKUP(C63,#REF!,8,0)),"",VLOOKUP(C63,#REF!,8,0))</f>
        <v/>
      </c>
    </row>
    <row r="64" spans="1:22" ht="48.75" customHeight="1" x14ac:dyDescent="0.15">
      <c r="A64" s="13">
        <v>298</v>
      </c>
      <c r="B64" s="14"/>
      <c r="C64" s="14"/>
      <c r="D64" s="15" t="str">
        <f>C64&amp;COUNTIF($C$1:C64,C64)</f>
        <v>0</v>
      </c>
      <c r="E64" s="14"/>
      <c r="F64" s="16"/>
      <c r="G64" s="17"/>
      <c r="H64" s="18"/>
      <c r="J64" s="20" t="str">
        <f t="shared" si="0"/>
        <v>0.1.</v>
      </c>
      <c r="K64" s="15" t="str">
        <f t="shared" si="1"/>
        <v>0:00</v>
      </c>
      <c r="L64" s="17"/>
      <c r="M64" s="17"/>
      <c r="N64" s="22"/>
      <c r="O64" s="17"/>
      <c r="P64" s="17"/>
      <c r="Q64" s="17"/>
      <c r="R64" s="24"/>
      <c r="S64" s="23"/>
      <c r="T64" s="15" t="s">
        <v>46</v>
      </c>
      <c r="U64" s="17"/>
      <c r="V64" s="15" t="str">
        <f>IF(ISERROR(VLOOKUP(C64,#REF!,8,0)),"",VLOOKUP(C64,#REF!,8,0))</f>
        <v/>
      </c>
    </row>
    <row r="65" spans="1:22" ht="48.75" customHeight="1" x14ac:dyDescent="0.15">
      <c r="A65" s="13">
        <v>299</v>
      </c>
      <c r="B65" s="14"/>
      <c r="C65" s="14"/>
      <c r="D65" s="15" t="str">
        <f>C65&amp;COUNTIF($C$1:C65,C65)</f>
        <v>0</v>
      </c>
      <c r="E65" s="14"/>
      <c r="F65" s="16"/>
      <c r="G65" s="17"/>
      <c r="H65" s="18"/>
      <c r="J65" s="20" t="str">
        <f t="shared" si="0"/>
        <v>0.1.</v>
      </c>
      <c r="K65" s="15" t="str">
        <f t="shared" si="1"/>
        <v>0:00</v>
      </c>
      <c r="L65" s="17"/>
      <c r="M65" s="17"/>
      <c r="N65" s="22"/>
      <c r="O65" s="17"/>
      <c r="P65" s="17"/>
      <c r="Q65" s="17"/>
      <c r="R65" s="24"/>
      <c r="S65" s="23"/>
      <c r="T65" s="15" t="s">
        <v>46</v>
      </c>
      <c r="U65" s="17"/>
      <c r="V65" s="15" t="str">
        <f>IF(ISERROR(VLOOKUP(C65,#REF!,8,0)),"",VLOOKUP(C65,#REF!,8,0))</f>
        <v/>
      </c>
    </row>
    <row r="66" spans="1:22" ht="48.75" customHeight="1" x14ac:dyDescent="0.15">
      <c r="A66" s="13">
        <v>300</v>
      </c>
      <c r="B66" s="14"/>
      <c r="C66" s="14"/>
      <c r="D66" s="15" t="str">
        <f>C66&amp;COUNTIF($C$1:C66,C66)</f>
        <v>0</v>
      </c>
      <c r="E66" s="14"/>
      <c r="F66" s="16"/>
      <c r="G66" s="17"/>
      <c r="H66" s="18"/>
      <c r="J66" s="20" t="str">
        <f t="shared" ref="J66:J129" si="4">IF(ISERROR(DAY(H66)),H66,DAY(H66)&amp;"."&amp;MONTH(H66)&amp;".")</f>
        <v>0.1.</v>
      </c>
      <c r="K66" s="15" t="str">
        <f t="shared" ref="K66:K129" si="5">IF(ISERROR(HOUR(I66)&amp;":"&amp;IF(MINUTE(I66)=0,"00",MINUTE(I66))),I66,HOUR(I66)&amp;":"&amp;IF(MINUTE(I66)=0,"00",IF(MINUTE(I66)&lt;10,"0"&amp;MINUTE(I66),MINUTE(I66))))</f>
        <v>0:00</v>
      </c>
      <c r="L66" s="17"/>
      <c r="M66" s="17"/>
      <c r="N66" s="22"/>
      <c r="O66" s="17"/>
      <c r="P66" s="17"/>
      <c r="Q66" s="17"/>
      <c r="R66" s="24"/>
      <c r="S66" s="23"/>
      <c r="T66" s="15" t="s">
        <v>46</v>
      </c>
      <c r="U66" s="17"/>
      <c r="V66" s="15" t="str">
        <f>IF(ISERROR(VLOOKUP(C66,#REF!,8,0)),"",VLOOKUP(C66,#REF!,8,0))</f>
        <v/>
      </c>
    </row>
    <row r="67" spans="1:22" ht="48.75" customHeight="1" x14ac:dyDescent="0.15">
      <c r="A67" s="13">
        <v>301</v>
      </c>
      <c r="B67" s="14"/>
      <c r="C67" s="14"/>
      <c r="D67" s="15" t="str">
        <f>C67&amp;COUNTIF($C$1:C67,C67)</f>
        <v>0</v>
      </c>
      <c r="E67" s="14"/>
      <c r="F67" s="16"/>
      <c r="G67" s="17"/>
      <c r="H67" s="18"/>
      <c r="J67" s="20" t="str">
        <f t="shared" si="4"/>
        <v>0.1.</v>
      </c>
      <c r="K67" s="15" t="str">
        <f t="shared" si="5"/>
        <v>0:00</v>
      </c>
      <c r="L67" s="17"/>
      <c r="M67" s="17"/>
      <c r="N67" s="22"/>
      <c r="O67" s="17"/>
      <c r="P67" s="17"/>
      <c r="Q67" s="17"/>
      <c r="R67" s="24"/>
      <c r="S67" s="23"/>
      <c r="T67" s="15" t="s">
        <v>46</v>
      </c>
      <c r="U67" s="17"/>
      <c r="V67" s="15" t="str">
        <f>IF(ISERROR(VLOOKUP(C67,#REF!,8,0)),"",VLOOKUP(C67,#REF!,8,0))</f>
        <v/>
      </c>
    </row>
    <row r="68" spans="1:22" ht="48.75" customHeight="1" x14ac:dyDescent="0.15">
      <c r="A68" s="13">
        <v>302</v>
      </c>
      <c r="B68" s="14"/>
      <c r="C68" s="14"/>
      <c r="D68" s="15" t="str">
        <f>C68&amp;COUNTIF($C$1:C68,C68)</f>
        <v>0</v>
      </c>
      <c r="E68" s="14"/>
      <c r="F68" s="16"/>
      <c r="G68" s="17"/>
      <c r="H68" s="18"/>
      <c r="J68" s="20" t="str">
        <f t="shared" si="4"/>
        <v>0.1.</v>
      </c>
      <c r="K68" s="15" t="str">
        <f t="shared" si="5"/>
        <v>0:00</v>
      </c>
      <c r="L68" s="17"/>
      <c r="M68" s="17"/>
      <c r="N68" s="22"/>
      <c r="O68" s="17"/>
      <c r="P68" s="17"/>
      <c r="Q68" s="17"/>
      <c r="R68" s="24"/>
      <c r="S68" s="23"/>
      <c r="T68" s="15" t="s">
        <v>46</v>
      </c>
      <c r="U68" s="17"/>
      <c r="V68" s="15" t="str">
        <f>IF(ISERROR(VLOOKUP(C68,#REF!,8,0)),"",VLOOKUP(C68,#REF!,8,0))</f>
        <v/>
      </c>
    </row>
    <row r="69" spans="1:22" ht="48.75" customHeight="1" x14ac:dyDescent="0.15">
      <c r="A69" s="13">
        <v>303</v>
      </c>
      <c r="B69" s="14"/>
      <c r="C69" s="14"/>
      <c r="D69" s="15" t="str">
        <f>C69&amp;COUNTIF($C$1:C69,C69)</f>
        <v>0</v>
      </c>
      <c r="E69" s="14"/>
      <c r="F69" s="16"/>
      <c r="G69" s="17"/>
      <c r="H69" s="18"/>
      <c r="J69" s="20" t="str">
        <f t="shared" si="4"/>
        <v>0.1.</v>
      </c>
      <c r="K69" s="15" t="str">
        <f t="shared" si="5"/>
        <v>0:00</v>
      </c>
      <c r="L69" s="17"/>
      <c r="M69" s="17"/>
      <c r="N69" s="22"/>
      <c r="O69" s="17"/>
      <c r="P69" s="17"/>
      <c r="Q69" s="17"/>
      <c r="R69" s="24"/>
      <c r="S69" s="23"/>
      <c r="T69" s="15" t="s">
        <v>46</v>
      </c>
      <c r="U69" s="17"/>
      <c r="V69" s="15" t="str">
        <f>IF(ISERROR(VLOOKUP(C69,#REF!,8,0)),"",VLOOKUP(C69,#REF!,8,0))</f>
        <v/>
      </c>
    </row>
    <row r="70" spans="1:22" ht="48.75" customHeight="1" x14ac:dyDescent="0.15">
      <c r="A70" s="13">
        <v>304</v>
      </c>
      <c r="B70" s="14"/>
      <c r="C70" s="14"/>
      <c r="D70" s="15" t="str">
        <f>C70&amp;COUNTIF($C$1:C70,C70)</f>
        <v>0</v>
      </c>
      <c r="E70" s="14"/>
      <c r="F70" s="16"/>
      <c r="G70" s="17"/>
      <c r="H70" s="18"/>
      <c r="J70" s="20" t="str">
        <f t="shared" si="4"/>
        <v>0.1.</v>
      </c>
      <c r="K70" s="15" t="str">
        <f t="shared" si="5"/>
        <v>0:00</v>
      </c>
      <c r="L70" s="17"/>
      <c r="M70" s="17"/>
      <c r="N70" s="22"/>
      <c r="O70" s="17"/>
      <c r="P70" s="17"/>
      <c r="Q70" s="17"/>
      <c r="R70" s="24"/>
      <c r="S70" s="23"/>
      <c r="T70" s="15" t="s">
        <v>46</v>
      </c>
      <c r="U70" s="17"/>
      <c r="V70" s="15" t="str">
        <f>IF(ISERROR(VLOOKUP(C70,#REF!,8,0)),"",VLOOKUP(C70,#REF!,8,0))</f>
        <v/>
      </c>
    </row>
    <row r="71" spans="1:22" ht="48.75" customHeight="1" x14ac:dyDescent="0.15">
      <c r="A71" s="13">
        <v>305</v>
      </c>
      <c r="B71" s="14"/>
      <c r="C71" s="14"/>
      <c r="D71" s="15" t="str">
        <f>C71&amp;COUNTIF($C$1:C71,C71)</f>
        <v>0</v>
      </c>
      <c r="E71" s="14"/>
      <c r="F71" s="16"/>
      <c r="G71" s="17"/>
      <c r="H71" s="18"/>
      <c r="J71" s="20" t="str">
        <f t="shared" si="4"/>
        <v>0.1.</v>
      </c>
      <c r="K71" s="15" t="str">
        <f t="shared" si="5"/>
        <v>0:00</v>
      </c>
      <c r="L71" s="17"/>
      <c r="M71" s="17"/>
      <c r="N71" s="22"/>
      <c r="O71" s="17"/>
      <c r="P71" s="17"/>
      <c r="Q71" s="17"/>
      <c r="R71" s="24"/>
      <c r="S71" s="23"/>
      <c r="T71" s="15" t="s">
        <v>46</v>
      </c>
      <c r="U71" s="17"/>
      <c r="V71" s="15" t="str">
        <f>IF(ISERROR(VLOOKUP(C71,#REF!,8,0)),"",VLOOKUP(C71,#REF!,8,0))</f>
        <v/>
      </c>
    </row>
    <row r="72" spans="1:22" ht="48.75" customHeight="1" x14ac:dyDescent="0.15">
      <c r="A72" s="13">
        <v>306</v>
      </c>
      <c r="B72" s="14"/>
      <c r="C72" s="14"/>
      <c r="D72" s="15" t="str">
        <f>C72&amp;COUNTIF($C$1:C72,C72)</f>
        <v>0</v>
      </c>
      <c r="E72" s="14"/>
      <c r="F72" s="16"/>
      <c r="G72" s="17"/>
      <c r="H72" s="18"/>
      <c r="J72" s="20" t="str">
        <f t="shared" si="4"/>
        <v>0.1.</v>
      </c>
      <c r="K72" s="15" t="str">
        <f t="shared" si="5"/>
        <v>0:00</v>
      </c>
      <c r="L72" s="17"/>
      <c r="M72" s="17"/>
      <c r="N72" s="22"/>
      <c r="O72" s="17"/>
      <c r="P72" s="17"/>
      <c r="Q72" s="17"/>
      <c r="R72" s="24"/>
      <c r="S72" s="23"/>
      <c r="T72" s="15" t="s">
        <v>46</v>
      </c>
      <c r="U72" s="17"/>
      <c r="V72" s="15" t="str">
        <f>IF(ISERROR(VLOOKUP(C72,#REF!,8,0)),"",VLOOKUP(C72,#REF!,8,0))</f>
        <v/>
      </c>
    </row>
    <row r="73" spans="1:22" ht="48.75" customHeight="1" x14ac:dyDescent="0.15">
      <c r="A73" s="13">
        <v>307</v>
      </c>
      <c r="B73" s="14"/>
      <c r="C73" s="14"/>
      <c r="D73" s="15" t="str">
        <f>C73&amp;COUNTIF($C$1:C73,C73)</f>
        <v>0</v>
      </c>
      <c r="E73" s="14"/>
      <c r="F73" s="16"/>
      <c r="G73" s="17"/>
      <c r="H73" s="18"/>
      <c r="J73" s="20" t="str">
        <f t="shared" si="4"/>
        <v>0.1.</v>
      </c>
      <c r="K73" s="15" t="str">
        <f t="shared" si="5"/>
        <v>0:00</v>
      </c>
      <c r="L73" s="17"/>
      <c r="M73" s="17"/>
      <c r="N73" s="22"/>
      <c r="O73" s="17"/>
      <c r="P73" s="17"/>
      <c r="Q73" s="17"/>
      <c r="R73" s="24"/>
      <c r="S73" s="23"/>
      <c r="T73" s="15" t="s">
        <v>46</v>
      </c>
      <c r="U73" s="17"/>
      <c r="V73" s="15" t="str">
        <f>IF(ISERROR(VLOOKUP(C73,#REF!,8,0)),"",VLOOKUP(C73,#REF!,8,0))</f>
        <v/>
      </c>
    </row>
    <row r="74" spans="1:22" ht="48.75" customHeight="1" x14ac:dyDescent="0.15">
      <c r="A74" s="13">
        <v>308</v>
      </c>
      <c r="B74" s="14"/>
      <c r="C74" s="14"/>
      <c r="D74" s="15" t="str">
        <f>C74&amp;COUNTIF($C$1:C74,C74)</f>
        <v>0</v>
      </c>
      <c r="E74" s="14"/>
      <c r="F74" s="16"/>
      <c r="G74" s="17"/>
      <c r="H74" s="18"/>
      <c r="J74" s="20" t="str">
        <f t="shared" si="4"/>
        <v>0.1.</v>
      </c>
      <c r="K74" s="15" t="str">
        <f t="shared" si="5"/>
        <v>0:00</v>
      </c>
      <c r="L74" s="17"/>
      <c r="M74" s="17"/>
      <c r="N74" s="22"/>
      <c r="O74" s="17"/>
      <c r="P74" s="17"/>
      <c r="Q74" s="17"/>
      <c r="R74" s="24"/>
      <c r="S74" s="23"/>
      <c r="T74" s="15" t="s">
        <v>46</v>
      </c>
      <c r="U74" s="17"/>
      <c r="V74" s="15" t="str">
        <f>IF(ISERROR(VLOOKUP(C74,#REF!,8,0)),"",VLOOKUP(C74,#REF!,8,0))</f>
        <v/>
      </c>
    </row>
    <row r="75" spans="1:22" ht="48.75" customHeight="1" x14ac:dyDescent="0.15">
      <c r="A75" s="13">
        <v>309</v>
      </c>
      <c r="B75" s="14"/>
      <c r="C75" s="14"/>
      <c r="D75" s="15" t="str">
        <f>C75&amp;COUNTIF($C$1:C75,C75)</f>
        <v>0</v>
      </c>
      <c r="E75" s="14"/>
      <c r="F75" s="16"/>
      <c r="G75" s="17"/>
      <c r="H75" s="18"/>
      <c r="J75" s="20" t="str">
        <f t="shared" si="4"/>
        <v>0.1.</v>
      </c>
      <c r="K75" s="15" t="str">
        <f t="shared" si="5"/>
        <v>0:00</v>
      </c>
      <c r="L75" s="17"/>
      <c r="M75" s="17"/>
      <c r="N75" s="22"/>
      <c r="O75" s="17"/>
      <c r="P75" s="17"/>
      <c r="Q75" s="17"/>
      <c r="R75" s="24"/>
      <c r="S75" s="23"/>
      <c r="T75" s="15" t="s">
        <v>46</v>
      </c>
      <c r="U75" s="17"/>
      <c r="V75" s="15" t="str">
        <f>IF(ISERROR(VLOOKUP(C75,#REF!,8,0)),"",VLOOKUP(C75,#REF!,8,0))</f>
        <v/>
      </c>
    </row>
    <row r="76" spans="1:22" ht="48.75" customHeight="1" x14ac:dyDescent="0.15">
      <c r="A76" s="13">
        <v>310</v>
      </c>
      <c r="B76" s="14"/>
      <c r="C76" s="14"/>
      <c r="D76" s="15" t="str">
        <f>C76&amp;COUNTIF($C$1:C76,C76)</f>
        <v>0</v>
      </c>
      <c r="E76" s="14"/>
      <c r="F76" s="16"/>
      <c r="G76" s="17"/>
      <c r="H76" s="18"/>
      <c r="J76" s="20" t="str">
        <f t="shared" si="4"/>
        <v>0.1.</v>
      </c>
      <c r="K76" s="15" t="str">
        <f t="shared" si="5"/>
        <v>0:00</v>
      </c>
      <c r="L76" s="17"/>
      <c r="M76" s="17"/>
      <c r="N76" s="22"/>
      <c r="O76" s="17"/>
      <c r="P76" s="17"/>
      <c r="Q76" s="17"/>
      <c r="R76" s="24"/>
      <c r="S76" s="23"/>
      <c r="T76" s="15" t="s">
        <v>46</v>
      </c>
      <c r="U76" s="17"/>
      <c r="V76" s="15" t="str">
        <f>IF(ISERROR(VLOOKUP(C76,#REF!,8,0)),"",VLOOKUP(C76,#REF!,8,0))</f>
        <v/>
      </c>
    </row>
    <row r="77" spans="1:22" ht="48.75" customHeight="1" x14ac:dyDescent="0.15">
      <c r="A77" s="13">
        <v>311</v>
      </c>
      <c r="B77" s="14"/>
      <c r="C77" s="14"/>
      <c r="D77" s="15" t="str">
        <f>C77&amp;COUNTIF($C$1:C77,C77)</f>
        <v>0</v>
      </c>
      <c r="E77" s="14"/>
      <c r="F77" s="16"/>
      <c r="G77" s="17"/>
      <c r="H77" s="18"/>
      <c r="J77" s="20" t="str">
        <f t="shared" si="4"/>
        <v>0.1.</v>
      </c>
      <c r="K77" s="15" t="str">
        <f t="shared" si="5"/>
        <v>0:00</v>
      </c>
      <c r="L77" s="17"/>
      <c r="M77" s="17"/>
      <c r="N77" s="22"/>
      <c r="O77" s="17"/>
      <c r="P77" s="17"/>
      <c r="Q77" s="17"/>
      <c r="R77" s="24"/>
      <c r="S77" s="23"/>
      <c r="T77" s="15" t="s">
        <v>46</v>
      </c>
      <c r="U77" s="17"/>
      <c r="V77" s="15" t="str">
        <f>IF(ISERROR(VLOOKUP(C77,#REF!,8,0)),"",VLOOKUP(C77,#REF!,8,0))</f>
        <v/>
      </c>
    </row>
    <row r="78" spans="1:22" ht="48.75" customHeight="1" x14ac:dyDescent="0.15">
      <c r="A78" s="13">
        <v>312</v>
      </c>
      <c r="B78" s="14"/>
      <c r="C78" s="14"/>
      <c r="D78" s="15" t="str">
        <f>C78&amp;COUNTIF($C$1:C78,C78)</f>
        <v>0</v>
      </c>
      <c r="E78" s="14"/>
      <c r="F78" s="16"/>
      <c r="G78" s="17"/>
      <c r="H78" s="18"/>
      <c r="J78" s="20" t="str">
        <f t="shared" si="4"/>
        <v>0.1.</v>
      </c>
      <c r="K78" s="15" t="str">
        <f t="shared" si="5"/>
        <v>0:00</v>
      </c>
      <c r="L78" s="17"/>
      <c r="M78" s="17"/>
      <c r="N78" s="22"/>
      <c r="O78" s="17"/>
      <c r="P78" s="17"/>
      <c r="Q78" s="17"/>
      <c r="R78" s="24"/>
      <c r="S78" s="23"/>
      <c r="T78" s="15" t="s">
        <v>46</v>
      </c>
      <c r="U78" s="17"/>
      <c r="V78" s="15" t="str">
        <f>IF(ISERROR(VLOOKUP(C78,#REF!,8,0)),"",VLOOKUP(C78,#REF!,8,0))</f>
        <v/>
      </c>
    </row>
    <row r="79" spans="1:22" ht="48.75" customHeight="1" x14ac:dyDescent="0.15">
      <c r="A79" s="13">
        <v>313</v>
      </c>
      <c r="B79" s="14"/>
      <c r="C79" s="14"/>
      <c r="D79" s="15" t="str">
        <f>C79&amp;COUNTIF($C$1:C79,C79)</f>
        <v>0</v>
      </c>
      <c r="E79" s="14"/>
      <c r="F79" s="16"/>
      <c r="G79" s="17"/>
      <c r="H79" s="18"/>
      <c r="J79" s="20" t="str">
        <f t="shared" si="4"/>
        <v>0.1.</v>
      </c>
      <c r="K79" s="15" t="str">
        <f t="shared" si="5"/>
        <v>0:00</v>
      </c>
      <c r="L79" s="17"/>
      <c r="M79" s="17"/>
      <c r="N79" s="22"/>
      <c r="O79" s="17"/>
      <c r="P79" s="17"/>
      <c r="Q79" s="17"/>
      <c r="R79" s="24"/>
      <c r="S79" s="23"/>
      <c r="T79" s="15" t="s">
        <v>46</v>
      </c>
      <c r="U79" s="17"/>
      <c r="V79" s="15" t="str">
        <f>IF(ISERROR(VLOOKUP(C79,#REF!,8,0)),"",VLOOKUP(C79,#REF!,8,0))</f>
        <v/>
      </c>
    </row>
    <row r="80" spans="1:22" ht="48.75" customHeight="1" x14ac:dyDescent="0.15">
      <c r="A80" s="13">
        <v>314</v>
      </c>
      <c r="B80" s="14"/>
      <c r="C80" s="14"/>
      <c r="D80" s="15" t="str">
        <f>C80&amp;COUNTIF($C$1:C80,C80)</f>
        <v>0</v>
      </c>
      <c r="E80" s="14"/>
      <c r="F80" s="16"/>
      <c r="G80" s="17"/>
      <c r="H80" s="18"/>
      <c r="J80" s="20" t="str">
        <f t="shared" si="4"/>
        <v>0.1.</v>
      </c>
      <c r="K80" s="15" t="str">
        <f t="shared" si="5"/>
        <v>0:00</v>
      </c>
      <c r="L80" s="17"/>
      <c r="M80" s="17"/>
      <c r="N80" s="22"/>
      <c r="O80" s="17"/>
      <c r="P80" s="17"/>
      <c r="Q80" s="17"/>
      <c r="R80" s="24"/>
      <c r="S80" s="23"/>
      <c r="T80" s="15" t="s">
        <v>46</v>
      </c>
      <c r="U80" s="17"/>
      <c r="V80" s="15" t="str">
        <f>IF(ISERROR(VLOOKUP(C80,#REF!,8,0)),"",VLOOKUP(C80,#REF!,8,0))</f>
        <v/>
      </c>
    </row>
    <row r="81" spans="1:22" ht="48.75" customHeight="1" x14ac:dyDescent="0.15">
      <c r="A81" s="13">
        <v>315</v>
      </c>
      <c r="B81" s="14"/>
      <c r="C81" s="14"/>
      <c r="D81" s="15" t="str">
        <f>C81&amp;COUNTIF($C$1:C81,C81)</f>
        <v>0</v>
      </c>
      <c r="E81" s="14"/>
      <c r="F81" s="16"/>
      <c r="G81" s="17"/>
      <c r="H81" s="18"/>
      <c r="J81" s="20" t="str">
        <f t="shared" si="4"/>
        <v>0.1.</v>
      </c>
      <c r="K81" s="15" t="str">
        <f t="shared" si="5"/>
        <v>0:00</v>
      </c>
      <c r="L81" s="17"/>
      <c r="M81" s="17"/>
      <c r="N81" s="22"/>
      <c r="O81" s="17"/>
      <c r="P81" s="17"/>
      <c r="Q81" s="17"/>
      <c r="R81" s="24"/>
      <c r="S81" s="23"/>
      <c r="T81" s="15" t="s">
        <v>46</v>
      </c>
      <c r="U81" s="17"/>
      <c r="V81" s="15" t="str">
        <f>IF(ISERROR(VLOOKUP(C81,#REF!,8,0)),"",VLOOKUP(C81,#REF!,8,0))</f>
        <v/>
      </c>
    </row>
    <row r="82" spans="1:22" ht="48.75" customHeight="1" x14ac:dyDescent="0.15">
      <c r="A82" s="13">
        <v>316</v>
      </c>
      <c r="B82" s="14"/>
      <c r="C82" s="14"/>
      <c r="D82" s="15" t="str">
        <f>C82&amp;COUNTIF($C$1:C82,C82)</f>
        <v>0</v>
      </c>
      <c r="E82" s="14"/>
      <c r="F82" s="16"/>
      <c r="G82" s="17"/>
      <c r="H82" s="18"/>
      <c r="J82" s="20" t="str">
        <f t="shared" si="4"/>
        <v>0.1.</v>
      </c>
      <c r="K82" s="15" t="str">
        <f t="shared" si="5"/>
        <v>0:00</v>
      </c>
      <c r="L82" s="17"/>
      <c r="M82" s="17"/>
      <c r="N82" s="22"/>
      <c r="O82" s="17"/>
      <c r="P82" s="17"/>
      <c r="Q82" s="17"/>
      <c r="R82" s="24"/>
      <c r="S82" s="23"/>
      <c r="T82" s="15" t="s">
        <v>46</v>
      </c>
      <c r="U82" s="17"/>
      <c r="V82" s="15" t="str">
        <f>IF(ISERROR(VLOOKUP(C82,#REF!,8,0)),"",VLOOKUP(C82,#REF!,8,0))</f>
        <v/>
      </c>
    </row>
    <row r="83" spans="1:22" ht="48.75" customHeight="1" x14ac:dyDescent="0.15">
      <c r="A83" s="13">
        <v>317</v>
      </c>
      <c r="B83" s="14"/>
      <c r="C83" s="14"/>
      <c r="D83" s="15" t="str">
        <f>C83&amp;COUNTIF($C$1:C83,C83)</f>
        <v>0</v>
      </c>
      <c r="E83" s="14"/>
      <c r="F83" s="16"/>
      <c r="G83" s="17"/>
      <c r="H83" s="18"/>
      <c r="J83" s="20" t="str">
        <f t="shared" si="4"/>
        <v>0.1.</v>
      </c>
      <c r="K83" s="15" t="str">
        <f t="shared" si="5"/>
        <v>0:00</v>
      </c>
      <c r="L83" s="17"/>
      <c r="M83" s="17"/>
      <c r="N83" s="22"/>
      <c r="O83" s="17"/>
      <c r="P83" s="17"/>
      <c r="Q83" s="17"/>
      <c r="R83" s="24"/>
      <c r="S83" s="23"/>
      <c r="T83" s="15" t="s">
        <v>46</v>
      </c>
      <c r="U83" s="17"/>
      <c r="V83" s="15" t="str">
        <f>IF(ISERROR(VLOOKUP(C83,#REF!,8,0)),"",VLOOKUP(C83,#REF!,8,0))</f>
        <v/>
      </c>
    </row>
    <row r="84" spans="1:22" ht="48.75" customHeight="1" x14ac:dyDescent="0.15">
      <c r="A84" s="13">
        <v>318</v>
      </c>
      <c r="B84" s="14"/>
      <c r="C84" s="14"/>
      <c r="D84" s="15" t="str">
        <f>C84&amp;COUNTIF($C$1:C84,C84)</f>
        <v>0</v>
      </c>
      <c r="E84" s="14"/>
      <c r="F84" s="16"/>
      <c r="G84" s="17"/>
      <c r="H84" s="18"/>
      <c r="J84" s="20" t="str">
        <f t="shared" si="4"/>
        <v>0.1.</v>
      </c>
      <c r="K84" s="15" t="str">
        <f t="shared" si="5"/>
        <v>0:00</v>
      </c>
      <c r="L84" s="17"/>
      <c r="M84" s="17"/>
      <c r="N84" s="22"/>
      <c r="O84" s="17"/>
      <c r="P84" s="17"/>
      <c r="Q84" s="17"/>
      <c r="R84" s="24"/>
      <c r="S84" s="23"/>
      <c r="T84" s="15" t="s">
        <v>46</v>
      </c>
      <c r="U84" s="17"/>
      <c r="V84" s="15" t="str">
        <f>IF(ISERROR(VLOOKUP(C84,#REF!,8,0)),"",VLOOKUP(C84,#REF!,8,0))</f>
        <v/>
      </c>
    </row>
    <row r="85" spans="1:22" ht="48.75" customHeight="1" x14ac:dyDescent="0.15">
      <c r="A85" s="13">
        <v>319</v>
      </c>
      <c r="B85" s="14"/>
      <c r="C85" s="14"/>
      <c r="D85" s="15" t="str">
        <f>C85&amp;COUNTIF($C$1:C85,C85)</f>
        <v>0</v>
      </c>
      <c r="E85" s="14"/>
      <c r="F85" s="16"/>
      <c r="G85" s="17"/>
      <c r="H85" s="18"/>
      <c r="J85" s="20" t="str">
        <f t="shared" si="4"/>
        <v>0.1.</v>
      </c>
      <c r="K85" s="15" t="str">
        <f t="shared" si="5"/>
        <v>0:00</v>
      </c>
      <c r="L85" s="17"/>
      <c r="M85" s="17"/>
      <c r="N85" s="22"/>
      <c r="O85" s="17"/>
      <c r="P85" s="17"/>
      <c r="Q85" s="17"/>
      <c r="R85" s="24"/>
      <c r="S85" s="23"/>
      <c r="T85" s="15" t="s">
        <v>46</v>
      </c>
      <c r="U85" s="17"/>
      <c r="V85" s="15" t="str">
        <f>IF(ISERROR(VLOOKUP(C85,#REF!,8,0)),"",VLOOKUP(C85,#REF!,8,0))</f>
        <v/>
      </c>
    </row>
    <row r="86" spans="1:22" ht="48.75" customHeight="1" x14ac:dyDescent="0.15">
      <c r="A86" s="13">
        <v>320</v>
      </c>
      <c r="B86" s="14"/>
      <c r="C86" s="14"/>
      <c r="D86" s="15" t="str">
        <f>C86&amp;COUNTIF($C$1:C86,C86)</f>
        <v>0</v>
      </c>
      <c r="E86" s="14"/>
      <c r="F86" s="16"/>
      <c r="G86" s="17"/>
      <c r="H86" s="18"/>
      <c r="J86" s="20" t="str">
        <f t="shared" si="4"/>
        <v>0.1.</v>
      </c>
      <c r="K86" s="15" t="str">
        <f t="shared" si="5"/>
        <v>0:00</v>
      </c>
      <c r="L86" s="17"/>
      <c r="M86" s="17"/>
      <c r="N86" s="22"/>
      <c r="O86" s="17"/>
      <c r="P86" s="17"/>
      <c r="Q86" s="17"/>
      <c r="R86" s="24"/>
      <c r="S86" s="23"/>
      <c r="T86" s="15" t="s">
        <v>46</v>
      </c>
      <c r="U86" s="17"/>
      <c r="V86" s="15" t="str">
        <f>IF(ISERROR(VLOOKUP(C86,#REF!,8,0)),"",VLOOKUP(C86,#REF!,8,0))</f>
        <v/>
      </c>
    </row>
    <row r="87" spans="1:22" ht="48.75" customHeight="1" x14ac:dyDescent="0.15">
      <c r="A87" s="13">
        <v>321</v>
      </c>
      <c r="B87" s="14"/>
      <c r="C87" s="14"/>
      <c r="D87" s="15" t="str">
        <f>C87&amp;COUNTIF($C$1:C87,C87)</f>
        <v>0</v>
      </c>
      <c r="E87" s="14"/>
      <c r="F87" s="16"/>
      <c r="G87" s="17"/>
      <c r="H87" s="18"/>
      <c r="J87" s="20" t="str">
        <f t="shared" si="4"/>
        <v>0.1.</v>
      </c>
      <c r="K87" s="15" t="str">
        <f t="shared" si="5"/>
        <v>0:00</v>
      </c>
      <c r="L87" s="17"/>
      <c r="M87" s="17"/>
      <c r="N87" s="22"/>
      <c r="O87" s="17"/>
      <c r="P87" s="17"/>
      <c r="Q87" s="17"/>
      <c r="R87" s="24"/>
      <c r="S87" s="23"/>
      <c r="T87" s="15" t="s">
        <v>46</v>
      </c>
      <c r="U87" s="17"/>
      <c r="V87" s="15" t="str">
        <f>IF(ISERROR(VLOOKUP(C87,#REF!,8,0)),"",VLOOKUP(C87,#REF!,8,0))</f>
        <v/>
      </c>
    </row>
    <row r="88" spans="1:22" ht="48.75" customHeight="1" x14ac:dyDescent="0.15">
      <c r="A88" s="13">
        <v>322</v>
      </c>
      <c r="B88" s="14"/>
      <c r="C88" s="14"/>
      <c r="D88" s="15" t="str">
        <f>C88&amp;COUNTIF($C$1:C88,C88)</f>
        <v>0</v>
      </c>
      <c r="E88" s="14"/>
      <c r="F88" s="16"/>
      <c r="G88" s="17"/>
      <c r="H88" s="18"/>
      <c r="J88" s="20" t="str">
        <f t="shared" si="4"/>
        <v>0.1.</v>
      </c>
      <c r="K88" s="15" t="str">
        <f t="shared" si="5"/>
        <v>0:00</v>
      </c>
      <c r="L88" s="17"/>
      <c r="M88" s="17"/>
      <c r="N88" s="22"/>
      <c r="O88" s="17"/>
      <c r="P88" s="17"/>
      <c r="Q88" s="17"/>
      <c r="R88" s="24"/>
      <c r="S88" s="23"/>
      <c r="T88" s="15" t="s">
        <v>46</v>
      </c>
      <c r="U88" s="17"/>
      <c r="V88" s="15" t="str">
        <f>IF(ISERROR(VLOOKUP(C88,#REF!,8,0)),"",VLOOKUP(C88,#REF!,8,0))</f>
        <v/>
      </c>
    </row>
    <row r="89" spans="1:22" ht="48.75" customHeight="1" x14ac:dyDescent="0.15">
      <c r="A89" s="13">
        <v>323</v>
      </c>
      <c r="B89" s="14"/>
      <c r="C89" s="14"/>
      <c r="D89" s="15" t="str">
        <f>C89&amp;COUNTIF($C$1:C89,C89)</f>
        <v>0</v>
      </c>
      <c r="E89" s="14"/>
      <c r="F89" s="16"/>
      <c r="G89" s="17"/>
      <c r="H89" s="18"/>
      <c r="J89" s="20" t="str">
        <f t="shared" si="4"/>
        <v>0.1.</v>
      </c>
      <c r="K89" s="15" t="str">
        <f t="shared" si="5"/>
        <v>0:00</v>
      </c>
      <c r="L89" s="17"/>
      <c r="M89" s="17"/>
      <c r="N89" s="22"/>
      <c r="O89" s="17"/>
      <c r="P89" s="17"/>
      <c r="Q89" s="17"/>
      <c r="R89" s="24"/>
      <c r="S89" s="23"/>
      <c r="T89" s="15" t="s">
        <v>46</v>
      </c>
      <c r="U89" s="17"/>
      <c r="V89" s="15" t="str">
        <f>IF(ISERROR(VLOOKUP(C89,#REF!,8,0)),"",VLOOKUP(C89,#REF!,8,0))</f>
        <v/>
      </c>
    </row>
    <row r="90" spans="1:22" ht="48.75" customHeight="1" x14ac:dyDescent="0.15">
      <c r="A90" s="13">
        <v>324</v>
      </c>
      <c r="B90" s="14"/>
      <c r="C90" s="14"/>
      <c r="D90" s="15" t="str">
        <f>C90&amp;COUNTIF($C$1:C90,C90)</f>
        <v>0</v>
      </c>
      <c r="E90" s="14"/>
      <c r="F90" s="16"/>
      <c r="G90" s="17"/>
      <c r="H90" s="18"/>
      <c r="J90" s="20" t="str">
        <f t="shared" si="4"/>
        <v>0.1.</v>
      </c>
      <c r="K90" s="15" t="str">
        <f t="shared" si="5"/>
        <v>0:00</v>
      </c>
      <c r="L90" s="17"/>
      <c r="M90" s="17"/>
      <c r="N90" s="22"/>
      <c r="O90" s="17"/>
      <c r="P90" s="17"/>
      <c r="Q90" s="17"/>
      <c r="R90" s="24"/>
      <c r="S90" s="23"/>
      <c r="T90" s="15" t="s">
        <v>46</v>
      </c>
      <c r="U90" s="17"/>
      <c r="V90" s="15" t="str">
        <f>IF(ISERROR(VLOOKUP(C90,#REF!,8,0)),"",VLOOKUP(C90,#REF!,8,0))</f>
        <v/>
      </c>
    </row>
    <row r="91" spans="1:22" ht="48.75" customHeight="1" x14ac:dyDescent="0.15">
      <c r="A91" s="13">
        <v>325</v>
      </c>
      <c r="B91" s="14"/>
      <c r="C91" s="14"/>
      <c r="D91" s="15" t="str">
        <f>C91&amp;COUNTIF($C$1:C91,C91)</f>
        <v>0</v>
      </c>
      <c r="E91" s="14"/>
      <c r="F91" s="16"/>
      <c r="G91" s="17"/>
      <c r="H91" s="18"/>
      <c r="J91" s="20" t="str">
        <f t="shared" si="4"/>
        <v>0.1.</v>
      </c>
      <c r="K91" s="15" t="str">
        <f t="shared" si="5"/>
        <v>0:00</v>
      </c>
      <c r="L91" s="17"/>
      <c r="M91" s="17"/>
      <c r="N91" s="22"/>
      <c r="O91" s="17"/>
      <c r="P91" s="17"/>
      <c r="Q91" s="17"/>
      <c r="R91" s="24"/>
      <c r="S91" s="23"/>
      <c r="T91" s="15" t="s">
        <v>46</v>
      </c>
      <c r="U91" s="17"/>
      <c r="V91" s="15" t="str">
        <f>IF(ISERROR(VLOOKUP(C91,#REF!,8,0)),"",VLOOKUP(C91,#REF!,8,0))</f>
        <v/>
      </c>
    </row>
    <row r="92" spans="1:22" ht="48.75" customHeight="1" x14ac:dyDescent="0.15">
      <c r="A92" s="13">
        <v>326</v>
      </c>
      <c r="B92" s="14"/>
      <c r="C92" s="14"/>
      <c r="D92" s="15" t="str">
        <f>C92&amp;COUNTIF($C$1:C92,C92)</f>
        <v>0</v>
      </c>
      <c r="E92" s="14"/>
      <c r="F92" s="16"/>
      <c r="G92" s="17"/>
      <c r="H92" s="18"/>
      <c r="J92" s="20" t="str">
        <f t="shared" si="4"/>
        <v>0.1.</v>
      </c>
      <c r="K92" s="15" t="str">
        <f t="shared" si="5"/>
        <v>0:00</v>
      </c>
      <c r="L92" s="17"/>
      <c r="M92" s="17"/>
      <c r="N92" s="22"/>
      <c r="O92" s="17"/>
      <c r="P92" s="17"/>
      <c r="Q92" s="17"/>
      <c r="R92" s="24"/>
      <c r="S92" s="23"/>
      <c r="T92" s="15" t="s">
        <v>46</v>
      </c>
      <c r="U92" s="17"/>
      <c r="V92" s="15" t="str">
        <f>IF(ISERROR(VLOOKUP(C92,#REF!,8,0)),"",VLOOKUP(C92,#REF!,8,0))</f>
        <v/>
      </c>
    </row>
    <row r="93" spans="1:22" ht="48.75" customHeight="1" x14ac:dyDescent="0.15">
      <c r="A93" s="13">
        <v>327</v>
      </c>
      <c r="B93" s="14"/>
      <c r="C93" s="14"/>
      <c r="D93" s="15" t="str">
        <f>C93&amp;COUNTIF($C$1:C93,C93)</f>
        <v>0</v>
      </c>
      <c r="E93" s="14"/>
      <c r="F93" s="16"/>
      <c r="G93" s="17"/>
      <c r="H93" s="18"/>
      <c r="J93" s="20" t="str">
        <f t="shared" si="4"/>
        <v>0.1.</v>
      </c>
      <c r="K93" s="15" t="str">
        <f t="shared" si="5"/>
        <v>0:00</v>
      </c>
      <c r="L93" s="17"/>
      <c r="M93" s="17"/>
      <c r="N93" s="22"/>
      <c r="O93" s="17"/>
      <c r="P93" s="17"/>
      <c r="Q93" s="17"/>
      <c r="R93" s="24"/>
      <c r="S93" s="23"/>
      <c r="T93" s="15" t="s">
        <v>46</v>
      </c>
      <c r="U93" s="17"/>
      <c r="V93" s="15" t="str">
        <f>IF(ISERROR(VLOOKUP(C93,#REF!,8,0)),"",VLOOKUP(C93,#REF!,8,0))</f>
        <v/>
      </c>
    </row>
    <row r="94" spans="1:22" ht="48.75" customHeight="1" x14ac:dyDescent="0.15">
      <c r="A94" s="13">
        <v>328</v>
      </c>
      <c r="B94" s="14"/>
      <c r="C94" s="14"/>
      <c r="D94" s="15" t="str">
        <f>C94&amp;COUNTIF($C$1:C94,C94)</f>
        <v>0</v>
      </c>
      <c r="E94" s="14"/>
      <c r="F94" s="16"/>
      <c r="G94" s="17"/>
      <c r="H94" s="18"/>
      <c r="J94" s="20" t="str">
        <f t="shared" si="4"/>
        <v>0.1.</v>
      </c>
      <c r="K94" s="15" t="str">
        <f t="shared" si="5"/>
        <v>0:00</v>
      </c>
      <c r="L94" s="17"/>
      <c r="M94" s="17"/>
      <c r="N94" s="22"/>
      <c r="O94" s="17"/>
      <c r="P94" s="17"/>
      <c r="Q94" s="17"/>
      <c r="R94" s="24"/>
      <c r="S94" s="23"/>
      <c r="T94" s="15" t="s">
        <v>46</v>
      </c>
      <c r="U94" s="17"/>
      <c r="V94" s="15" t="str">
        <f>IF(ISERROR(VLOOKUP(C94,#REF!,8,0)),"",VLOOKUP(C94,#REF!,8,0))</f>
        <v/>
      </c>
    </row>
    <row r="95" spans="1:22" ht="48.75" customHeight="1" x14ac:dyDescent="0.15">
      <c r="A95" s="13">
        <v>329</v>
      </c>
      <c r="B95" s="14"/>
      <c r="C95" s="14"/>
      <c r="D95" s="15" t="str">
        <f>C95&amp;COUNTIF($C$1:C95,C95)</f>
        <v>0</v>
      </c>
      <c r="E95" s="14"/>
      <c r="F95" s="16"/>
      <c r="G95" s="17"/>
      <c r="H95" s="18"/>
      <c r="J95" s="20" t="str">
        <f t="shared" si="4"/>
        <v>0.1.</v>
      </c>
      <c r="K95" s="15" t="str">
        <f t="shared" si="5"/>
        <v>0:00</v>
      </c>
      <c r="L95" s="17"/>
      <c r="M95" s="17"/>
      <c r="N95" s="22"/>
      <c r="O95" s="17"/>
      <c r="P95" s="17"/>
      <c r="Q95" s="17"/>
      <c r="R95" s="24"/>
      <c r="S95" s="23"/>
      <c r="T95" s="15" t="s">
        <v>46</v>
      </c>
      <c r="U95" s="17"/>
      <c r="V95" s="15" t="str">
        <f>IF(ISERROR(VLOOKUP(C95,#REF!,8,0)),"",VLOOKUP(C95,#REF!,8,0))</f>
        <v/>
      </c>
    </row>
    <row r="96" spans="1:22" ht="48.75" customHeight="1" x14ac:dyDescent="0.15">
      <c r="A96" s="13">
        <v>330</v>
      </c>
      <c r="B96" s="14"/>
      <c r="C96" s="14"/>
      <c r="D96" s="15" t="str">
        <f>C96&amp;COUNTIF($C$1:C96,C96)</f>
        <v>0</v>
      </c>
      <c r="E96" s="14"/>
      <c r="F96" s="16"/>
      <c r="G96" s="17"/>
      <c r="H96" s="18"/>
      <c r="J96" s="20" t="str">
        <f t="shared" si="4"/>
        <v>0.1.</v>
      </c>
      <c r="K96" s="15" t="str">
        <f t="shared" si="5"/>
        <v>0:00</v>
      </c>
      <c r="L96" s="17"/>
      <c r="M96" s="17"/>
      <c r="N96" s="22"/>
      <c r="O96" s="17"/>
      <c r="P96" s="17"/>
      <c r="Q96" s="17"/>
      <c r="R96" s="24"/>
      <c r="S96" s="23"/>
      <c r="T96" s="15" t="s">
        <v>46</v>
      </c>
      <c r="U96" s="17"/>
      <c r="V96" s="15" t="str">
        <f>IF(ISERROR(VLOOKUP(C96,#REF!,8,0)),"",VLOOKUP(C96,#REF!,8,0))</f>
        <v/>
      </c>
    </row>
    <row r="97" spans="1:22" ht="48.75" customHeight="1" x14ac:dyDescent="0.15">
      <c r="A97" s="13">
        <v>331</v>
      </c>
      <c r="B97" s="14"/>
      <c r="C97" s="14"/>
      <c r="D97" s="15" t="str">
        <f>C97&amp;COUNTIF($C$1:C97,C97)</f>
        <v>0</v>
      </c>
      <c r="E97" s="14"/>
      <c r="F97" s="16"/>
      <c r="G97" s="17"/>
      <c r="H97" s="18"/>
      <c r="J97" s="20" t="str">
        <f t="shared" si="4"/>
        <v>0.1.</v>
      </c>
      <c r="K97" s="15" t="str">
        <f t="shared" si="5"/>
        <v>0:00</v>
      </c>
      <c r="L97" s="17"/>
      <c r="M97" s="17"/>
      <c r="N97" s="22"/>
      <c r="O97" s="17"/>
      <c r="P97" s="17"/>
      <c r="Q97" s="17"/>
      <c r="R97" s="24"/>
      <c r="S97" s="23"/>
      <c r="T97" s="15" t="s">
        <v>46</v>
      </c>
      <c r="U97" s="17"/>
      <c r="V97" s="15" t="str">
        <f>IF(ISERROR(VLOOKUP(C97,#REF!,8,0)),"",VLOOKUP(C97,#REF!,8,0))</f>
        <v/>
      </c>
    </row>
    <row r="98" spans="1:22" ht="48.75" customHeight="1" x14ac:dyDescent="0.15">
      <c r="A98" s="13">
        <v>332</v>
      </c>
      <c r="B98" s="14"/>
      <c r="C98" s="14"/>
      <c r="D98" s="15" t="str">
        <f>C98&amp;COUNTIF($C$1:C98,C98)</f>
        <v>0</v>
      </c>
      <c r="E98" s="14"/>
      <c r="F98" s="16"/>
      <c r="G98" s="17"/>
      <c r="H98" s="18"/>
      <c r="J98" s="20" t="str">
        <f t="shared" si="4"/>
        <v>0.1.</v>
      </c>
      <c r="K98" s="15" t="str">
        <f t="shared" si="5"/>
        <v>0:00</v>
      </c>
      <c r="L98" s="17"/>
      <c r="M98" s="17"/>
      <c r="N98" s="22"/>
      <c r="O98" s="17"/>
      <c r="P98" s="17"/>
      <c r="Q98" s="17"/>
      <c r="R98" s="24"/>
      <c r="S98" s="23"/>
      <c r="T98" s="15" t="s">
        <v>46</v>
      </c>
      <c r="U98" s="17"/>
      <c r="V98" s="15" t="str">
        <f>IF(ISERROR(VLOOKUP(C98,#REF!,8,0)),"",VLOOKUP(C98,#REF!,8,0))</f>
        <v/>
      </c>
    </row>
    <row r="99" spans="1:22" ht="48.75" customHeight="1" x14ac:dyDescent="0.15">
      <c r="A99" s="13">
        <v>333</v>
      </c>
      <c r="B99" s="14"/>
      <c r="C99" s="14"/>
      <c r="D99" s="15" t="str">
        <f>C99&amp;COUNTIF($C$1:C99,C99)</f>
        <v>0</v>
      </c>
      <c r="E99" s="14"/>
      <c r="F99" s="16"/>
      <c r="G99" s="17"/>
      <c r="H99" s="18"/>
      <c r="J99" s="20" t="str">
        <f t="shared" si="4"/>
        <v>0.1.</v>
      </c>
      <c r="K99" s="15" t="str">
        <f t="shared" si="5"/>
        <v>0:00</v>
      </c>
      <c r="L99" s="17"/>
      <c r="M99" s="17"/>
      <c r="N99" s="22"/>
      <c r="O99" s="17"/>
      <c r="P99" s="17"/>
      <c r="Q99" s="17"/>
      <c r="R99" s="24"/>
      <c r="S99" s="23"/>
      <c r="T99" s="15" t="s">
        <v>46</v>
      </c>
      <c r="U99" s="17"/>
      <c r="V99" s="15" t="str">
        <f>IF(ISERROR(VLOOKUP(C99,#REF!,8,0)),"",VLOOKUP(C99,#REF!,8,0))</f>
        <v/>
      </c>
    </row>
    <row r="100" spans="1:22" ht="48.75" customHeight="1" x14ac:dyDescent="0.15">
      <c r="A100" s="13">
        <v>334</v>
      </c>
      <c r="B100" s="14"/>
      <c r="C100" s="14"/>
      <c r="D100" s="15" t="str">
        <f>C100&amp;COUNTIF($C$1:C100,C100)</f>
        <v>0</v>
      </c>
      <c r="E100" s="14"/>
      <c r="F100" s="16"/>
      <c r="G100" s="17"/>
      <c r="H100" s="18"/>
      <c r="J100" s="20" t="str">
        <f t="shared" si="4"/>
        <v>0.1.</v>
      </c>
      <c r="K100" s="15" t="str">
        <f t="shared" si="5"/>
        <v>0:00</v>
      </c>
      <c r="L100" s="17"/>
      <c r="M100" s="17"/>
      <c r="N100" s="22"/>
      <c r="O100" s="17"/>
      <c r="P100" s="17"/>
      <c r="Q100" s="17"/>
      <c r="R100" s="24"/>
      <c r="S100" s="23"/>
      <c r="T100" s="15" t="s">
        <v>46</v>
      </c>
      <c r="U100" s="17"/>
      <c r="V100" s="15" t="str">
        <f>IF(ISERROR(VLOOKUP(C100,#REF!,8,0)),"",VLOOKUP(C100,#REF!,8,0))</f>
        <v/>
      </c>
    </row>
    <row r="101" spans="1:22" ht="48.75" customHeight="1" x14ac:dyDescent="0.15">
      <c r="A101" s="13">
        <v>335</v>
      </c>
      <c r="B101" s="14"/>
      <c r="C101" s="14"/>
      <c r="D101" s="15" t="str">
        <f>C101&amp;COUNTIF($C$1:C101,C101)</f>
        <v>0</v>
      </c>
      <c r="E101" s="14"/>
      <c r="F101" s="16"/>
      <c r="G101" s="17"/>
      <c r="H101" s="18"/>
      <c r="J101" s="20" t="str">
        <f t="shared" si="4"/>
        <v>0.1.</v>
      </c>
      <c r="K101" s="15" t="str">
        <f t="shared" si="5"/>
        <v>0:00</v>
      </c>
      <c r="L101" s="17"/>
      <c r="M101" s="17"/>
      <c r="N101" s="22"/>
      <c r="O101" s="17"/>
      <c r="P101" s="17"/>
      <c r="Q101" s="17"/>
      <c r="R101" s="24"/>
      <c r="S101" s="23"/>
      <c r="T101" s="15" t="s">
        <v>46</v>
      </c>
      <c r="U101" s="17"/>
      <c r="V101" s="15" t="str">
        <f>IF(ISERROR(VLOOKUP(C101,#REF!,8,0)),"",VLOOKUP(C101,#REF!,8,0))</f>
        <v/>
      </c>
    </row>
    <row r="102" spans="1:22" ht="48.75" customHeight="1" x14ac:dyDescent="0.15">
      <c r="A102" s="13">
        <v>336</v>
      </c>
      <c r="B102" s="14"/>
      <c r="C102" s="14"/>
      <c r="D102" s="15" t="str">
        <f>C102&amp;COUNTIF($C$1:C102,C102)</f>
        <v>0</v>
      </c>
      <c r="E102" s="14"/>
      <c r="F102" s="16"/>
      <c r="G102" s="17"/>
      <c r="H102" s="18"/>
      <c r="J102" s="20" t="str">
        <f t="shared" si="4"/>
        <v>0.1.</v>
      </c>
      <c r="K102" s="15" t="str">
        <f t="shared" si="5"/>
        <v>0:00</v>
      </c>
      <c r="L102" s="17"/>
      <c r="M102" s="17"/>
      <c r="N102" s="22"/>
      <c r="O102" s="17"/>
      <c r="P102" s="17"/>
      <c r="Q102" s="17"/>
      <c r="R102" s="24"/>
      <c r="S102" s="23"/>
      <c r="T102" s="15" t="s">
        <v>46</v>
      </c>
      <c r="U102" s="17"/>
      <c r="V102" s="15" t="str">
        <f>IF(ISERROR(VLOOKUP(C102,#REF!,8,0)),"",VLOOKUP(C102,#REF!,8,0))</f>
        <v/>
      </c>
    </row>
    <row r="103" spans="1:22" ht="48.75" customHeight="1" x14ac:dyDescent="0.15">
      <c r="A103" s="13">
        <v>337</v>
      </c>
      <c r="B103" s="14"/>
      <c r="C103" s="14"/>
      <c r="D103" s="15" t="str">
        <f>C103&amp;COUNTIF($C$1:C103,C103)</f>
        <v>0</v>
      </c>
      <c r="E103" s="14"/>
      <c r="F103" s="16"/>
      <c r="G103" s="17"/>
      <c r="H103" s="18"/>
      <c r="J103" s="20" t="str">
        <f t="shared" si="4"/>
        <v>0.1.</v>
      </c>
      <c r="K103" s="15" t="str">
        <f t="shared" si="5"/>
        <v>0:00</v>
      </c>
      <c r="L103" s="17"/>
      <c r="M103" s="17"/>
      <c r="N103" s="22"/>
      <c r="O103" s="17"/>
      <c r="P103" s="17"/>
      <c r="Q103" s="17"/>
      <c r="R103" s="24"/>
      <c r="S103" s="23"/>
      <c r="T103" s="15" t="s">
        <v>46</v>
      </c>
      <c r="U103" s="17"/>
      <c r="V103" s="15" t="str">
        <f>IF(ISERROR(VLOOKUP(C103,#REF!,8,0)),"",VLOOKUP(C103,#REF!,8,0))</f>
        <v/>
      </c>
    </row>
    <row r="104" spans="1:22" ht="48.75" customHeight="1" x14ac:dyDescent="0.15">
      <c r="A104" s="13">
        <v>338</v>
      </c>
      <c r="B104" s="14"/>
      <c r="C104" s="14"/>
      <c r="D104" s="15" t="str">
        <f>C104&amp;COUNTIF($C$1:C104,C104)</f>
        <v>0</v>
      </c>
      <c r="E104" s="14"/>
      <c r="F104" s="16"/>
      <c r="G104" s="17"/>
      <c r="H104" s="18"/>
      <c r="J104" s="20" t="str">
        <f t="shared" si="4"/>
        <v>0.1.</v>
      </c>
      <c r="K104" s="15" t="str">
        <f t="shared" si="5"/>
        <v>0:00</v>
      </c>
      <c r="L104" s="17"/>
      <c r="M104" s="17"/>
      <c r="N104" s="22"/>
      <c r="O104" s="17"/>
      <c r="P104" s="17"/>
      <c r="Q104" s="17"/>
      <c r="R104" s="24"/>
      <c r="S104" s="23"/>
      <c r="T104" s="15" t="s">
        <v>46</v>
      </c>
      <c r="U104" s="17"/>
      <c r="V104" s="15" t="str">
        <f>IF(ISERROR(VLOOKUP(C104,#REF!,8,0)),"",VLOOKUP(C104,#REF!,8,0))</f>
        <v/>
      </c>
    </row>
    <row r="105" spans="1:22" ht="48.75" customHeight="1" x14ac:dyDescent="0.15">
      <c r="A105" s="13">
        <v>339</v>
      </c>
      <c r="B105" s="14"/>
      <c r="C105" s="14"/>
      <c r="D105" s="15" t="str">
        <f>C105&amp;COUNTIF($C$1:C105,C105)</f>
        <v>0</v>
      </c>
      <c r="E105" s="14"/>
      <c r="F105" s="16"/>
      <c r="G105" s="17"/>
      <c r="H105" s="18"/>
      <c r="J105" s="20" t="str">
        <f t="shared" si="4"/>
        <v>0.1.</v>
      </c>
      <c r="K105" s="15" t="str">
        <f t="shared" si="5"/>
        <v>0:00</v>
      </c>
      <c r="L105" s="17"/>
      <c r="M105" s="17"/>
      <c r="N105" s="22"/>
      <c r="O105" s="17"/>
      <c r="P105" s="17"/>
      <c r="Q105" s="17"/>
      <c r="R105" s="24"/>
      <c r="S105" s="23"/>
      <c r="T105" s="15" t="s">
        <v>46</v>
      </c>
      <c r="U105" s="17"/>
      <c r="V105" s="15" t="str">
        <f>IF(ISERROR(VLOOKUP(C105,#REF!,8,0)),"",VLOOKUP(C105,#REF!,8,0))</f>
        <v/>
      </c>
    </row>
    <row r="106" spans="1:22" ht="48.75" customHeight="1" x14ac:dyDescent="0.15">
      <c r="A106" s="13">
        <v>340</v>
      </c>
      <c r="B106" s="14"/>
      <c r="C106" s="14"/>
      <c r="D106" s="15" t="str">
        <f>C106&amp;COUNTIF($C$1:C106,C106)</f>
        <v>0</v>
      </c>
      <c r="E106" s="14"/>
      <c r="F106" s="16"/>
      <c r="G106" s="17"/>
      <c r="H106" s="18"/>
      <c r="J106" s="20" t="str">
        <f t="shared" si="4"/>
        <v>0.1.</v>
      </c>
      <c r="K106" s="15" t="str">
        <f t="shared" si="5"/>
        <v>0:00</v>
      </c>
      <c r="L106" s="17"/>
      <c r="M106" s="17"/>
      <c r="N106" s="22"/>
      <c r="O106" s="17"/>
      <c r="P106" s="17"/>
      <c r="Q106" s="17"/>
      <c r="R106" s="24"/>
      <c r="S106" s="23"/>
      <c r="T106" s="15" t="s">
        <v>46</v>
      </c>
      <c r="U106" s="17"/>
      <c r="V106" s="15" t="str">
        <f>IF(ISERROR(VLOOKUP(C106,#REF!,8,0)),"",VLOOKUP(C106,#REF!,8,0))</f>
        <v/>
      </c>
    </row>
    <row r="107" spans="1:22" ht="48.75" customHeight="1" x14ac:dyDescent="0.15">
      <c r="A107" s="13">
        <v>341</v>
      </c>
      <c r="B107" s="14"/>
      <c r="C107" s="14"/>
      <c r="D107" s="15" t="str">
        <f>C107&amp;COUNTIF($C$1:C107,C107)</f>
        <v>0</v>
      </c>
      <c r="E107" s="14"/>
      <c r="F107" s="16"/>
      <c r="G107" s="17"/>
      <c r="H107" s="18"/>
      <c r="J107" s="20" t="str">
        <f t="shared" si="4"/>
        <v>0.1.</v>
      </c>
      <c r="K107" s="15" t="str">
        <f t="shared" si="5"/>
        <v>0:00</v>
      </c>
      <c r="L107" s="17"/>
      <c r="M107" s="17"/>
      <c r="N107" s="22"/>
      <c r="O107" s="17"/>
      <c r="P107" s="17"/>
      <c r="Q107" s="17"/>
      <c r="R107" s="24"/>
      <c r="S107" s="23"/>
      <c r="T107" s="15" t="s">
        <v>46</v>
      </c>
      <c r="U107" s="17"/>
      <c r="V107" s="15" t="str">
        <f>IF(ISERROR(VLOOKUP(C107,#REF!,8,0)),"",VLOOKUP(C107,#REF!,8,0))</f>
        <v/>
      </c>
    </row>
    <row r="108" spans="1:22" ht="48.75" customHeight="1" x14ac:dyDescent="0.15">
      <c r="A108" s="13">
        <v>342</v>
      </c>
      <c r="B108" s="14"/>
      <c r="C108" s="14"/>
      <c r="D108" s="15" t="str">
        <f>C108&amp;COUNTIF($C$1:C108,C108)</f>
        <v>0</v>
      </c>
      <c r="E108" s="14"/>
      <c r="F108" s="16"/>
      <c r="G108" s="17"/>
      <c r="H108" s="18"/>
      <c r="J108" s="20" t="str">
        <f t="shared" si="4"/>
        <v>0.1.</v>
      </c>
      <c r="K108" s="15" t="str">
        <f t="shared" si="5"/>
        <v>0:00</v>
      </c>
      <c r="L108" s="17"/>
      <c r="M108" s="17"/>
      <c r="N108" s="22"/>
      <c r="O108" s="17"/>
      <c r="P108" s="17"/>
      <c r="Q108" s="17"/>
      <c r="R108" s="24"/>
      <c r="S108" s="23"/>
      <c r="T108" s="15" t="s">
        <v>46</v>
      </c>
      <c r="U108" s="17"/>
      <c r="V108" s="15" t="str">
        <f>IF(ISERROR(VLOOKUP(C108,#REF!,8,0)),"",VLOOKUP(C108,#REF!,8,0))</f>
        <v/>
      </c>
    </row>
    <row r="109" spans="1:22" ht="48.75" customHeight="1" x14ac:dyDescent="0.15">
      <c r="A109" s="13">
        <v>343</v>
      </c>
      <c r="B109" s="14"/>
      <c r="C109" s="14"/>
      <c r="D109" s="15" t="str">
        <f>C109&amp;COUNTIF($C$1:C109,C109)</f>
        <v>0</v>
      </c>
      <c r="E109" s="14"/>
      <c r="F109" s="16"/>
      <c r="G109" s="17"/>
      <c r="H109" s="18"/>
      <c r="J109" s="20" t="str">
        <f t="shared" si="4"/>
        <v>0.1.</v>
      </c>
      <c r="K109" s="15" t="str">
        <f t="shared" si="5"/>
        <v>0:00</v>
      </c>
      <c r="L109" s="17"/>
      <c r="M109" s="17"/>
      <c r="N109" s="22"/>
      <c r="O109" s="17"/>
      <c r="P109" s="17"/>
      <c r="Q109" s="17"/>
      <c r="R109" s="24"/>
      <c r="S109" s="23"/>
      <c r="T109" s="15" t="s">
        <v>46</v>
      </c>
      <c r="U109" s="17"/>
      <c r="V109" s="15" t="str">
        <f>IF(ISERROR(VLOOKUP(C109,#REF!,8,0)),"",VLOOKUP(C109,#REF!,8,0))</f>
        <v/>
      </c>
    </row>
    <row r="110" spans="1:22" ht="48.75" customHeight="1" x14ac:dyDescent="0.15">
      <c r="A110" s="13">
        <v>344</v>
      </c>
      <c r="B110" s="14"/>
      <c r="C110" s="14"/>
      <c r="D110" s="15" t="str">
        <f>C110&amp;COUNTIF($C$1:C110,C110)</f>
        <v>0</v>
      </c>
      <c r="E110" s="14"/>
      <c r="F110" s="16"/>
      <c r="G110" s="17"/>
      <c r="H110" s="18"/>
      <c r="J110" s="20" t="str">
        <f t="shared" si="4"/>
        <v>0.1.</v>
      </c>
      <c r="K110" s="15" t="str">
        <f t="shared" si="5"/>
        <v>0:00</v>
      </c>
      <c r="L110" s="17"/>
      <c r="M110" s="17"/>
      <c r="N110" s="22"/>
      <c r="O110" s="17"/>
      <c r="P110" s="17"/>
      <c r="Q110" s="17"/>
      <c r="R110" s="24"/>
      <c r="S110" s="23"/>
      <c r="T110" s="15" t="s">
        <v>46</v>
      </c>
      <c r="U110" s="17"/>
      <c r="V110" s="15" t="str">
        <f>IF(ISERROR(VLOOKUP(C110,#REF!,8,0)),"",VLOOKUP(C110,#REF!,8,0))</f>
        <v/>
      </c>
    </row>
    <row r="111" spans="1:22" ht="48.75" customHeight="1" x14ac:dyDescent="0.15">
      <c r="A111" s="13">
        <v>345</v>
      </c>
      <c r="B111" s="14"/>
      <c r="C111" s="14"/>
      <c r="D111" s="15" t="str">
        <f>C111&amp;COUNTIF($C$1:C111,C111)</f>
        <v>0</v>
      </c>
      <c r="E111" s="14"/>
      <c r="F111" s="16"/>
      <c r="G111" s="17"/>
      <c r="H111" s="18"/>
      <c r="J111" s="20" t="str">
        <f t="shared" si="4"/>
        <v>0.1.</v>
      </c>
      <c r="K111" s="15" t="str">
        <f t="shared" si="5"/>
        <v>0:00</v>
      </c>
      <c r="L111" s="17"/>
      <c r="M111" s="17"/>
      <c r="N111" s="22"/>
      <c r="O111" s="17"/>
      <c r="P111" s="17"/>
      <c r="Q111" s="17"/>
      <c r="R111" s="24"/>
      <c r="S111" s="23"/>
      <c r="T111" s="15" t="s">
        <v>46</v>
      </c>
      <c r="U111" s="17"/>
      <c r="V111" s="15" t="str">
        <f>IF(ISERROR(VLOOKUP(C111,#REF!,8,0)),"",VLOOKUP(C111,#REF!,8,0))</f>
        <v/>
      </c>
    </row>
    <row r="112" spans="1:22" ht="48.75" customHeight="1" x14ac:dyDescent="0.15">
      <c r="A112" s="13">
        <v>346</v>
      </c>
      <c r="B112" s="14"/>
      <c r="C112" s="14"/>
      <c r="D112" s="15" t="str">
        <f>C112&amp;COUNTIF($C$1:C112,C112)</f>
        <v>0</v>
      </c>
      <c r="E112" s="14"/>
      <c r="F112" s="16"/>
      <c r="G112" s="17"/>
      <c r="H112" s="18"/>
      <c r="J112" s="20" t="str">
        <f t="shared" si="4"/>
        <v>0.1.</v>
      </c>
      <c r="K112" s="15" t="str">
        <f t="shared" si="5"/>
        <v>0:00</v>
      </c>
      <c r="L112" s="17"/>
      <c r="M112" s="17"/>
      <c r="N112" s="22"/>
      <c r="O112" s="17"/>
      <c r="P112" s="17"/>
      <c r="Q112" s="17"/>
      <c r="R112" s="24"/>
      <c r="S112" s="23"/>
      <c r="T112" s="15" t="s">
        <v>46</v>
      </c>
      <c r="U112" s="17"/>
      <c r="V112" s="15" t="str">
        <f>IF(ISERROR(VLOOKUP(C112,#REF!,8,0)),"",VLOOKUP(C112,#REF!,8,0))</f>
        <v/>
      </c>
    </row>
    <row r="113" spans="1:22" ht="48.75" customHeight="1" x14ac:dyDescent="0.15">
      <c r="A113" s="13">
        <v>347</v>
      </c>
      <c r="B113" s="14"/>
      <c r="C113" s="14"/>
      <c r="D113" s="15" t="str">
        <f>C113&amp;COUNTIF($C$1:C113,C113)</f>
        <v>0</v>
      </c>
      <c r="E113" s="14"/>
      <c r="F113" s="16"/>
      <c r="G113" s="17"/>
      <c r="H113" s="18"/>
      <c r="J113" s="20" t="str">
        <f t="shared" si="4"/>
        <v>0.1.</v>
      </c>
      <c r="K113" s="15" t="str">
        <f t="shared" si="5"/>
        <v>0:00</v>
      </c>
      <c r="L113" s="17"/>
      <c r="M113" s="17"/>
      <c r="N113" s="22"/>
      <c r="O113" s="17"/>
      <c r="P113" s="17"/>
      <c r="Q113" s="17"/>
      <c r="R113" s="24"/>
      <c r="S113" s="23"/>
      <c r="T113" s="15" t="s">
        <v>46</v>
      </c>
      <c r="U113" s="17"/>
      <c r="V113" s="15" t="str">
        <f>IF(ISERROR(VLOOKUP(C113,#REF!,8,0)),"",VLOOKUP(C113,#REF!,8,0))</f>
        <v/>
      </c>
    </row>
    <row r="114" spans="1:22" ht="48.75" customHeight="1" x14ac:dyDescent="0.15">
      <c r="A114" s="13">
        <v>348</v>
      </c>
      <c r="B114" s="14"/>
      <c r="C114" s="14"/>
      <c r="D114" s="15" t="str">
        <f>C114&amp;COUNTIF($C$1:C114,C114)</f>
        <v>0</v>
      </c>
      <c r="E114" s="14"/>
      <c r="F114" s="16"/>
      <c r="G114" s="17"/>
      <c r="H114" s="18"/>
      <c r="J114" s="20" t="str">
        <f t="shared" si="4"/>
        <v>0.1.</v>
      </c>
      <c r="K114" s="15" t="str">
        <f t="shared" si="5"/>
        <v>0:00</v>
      </c>
      <c r="L114" s="17"/>
      <c r="M114" s="17"/>
      <c r="N114" s="22"/>
      <c r="O114" s="17"/>
      <c r="P114" s="17"/>
      <c r="Q114" s="17"/>
      <c r="R114" s="24"/>
      <c r="S114" s="23"/>
      <c r="T114" s="15" t="s">
        <v>46</v>
      </c>
      <c r="U114" s="17"/>
      <c r="V114" s="15" t="str">
        <f>IF(ISERROR(VLOOKUP(C114,#REF!,8,0)),"",VLOOKUP(C114,#REF!,8,0))</f>
        <v/>
      </c>
    </row>
    <row r="115" spans="1:22" ht="48.75" customHeight="1" x14ac:dyDescent="0.15">
      <c r="A115" s="13">
        <v>349</v>
      </c>
      <c r="B115" s="14"/>
      <c r="C115" s="14"/>
      <c r="D115" s="15" t="str">
        <f>C115&amp;COUNTIF($C$1:C115,C115)</f>
        <v>0</v>
      </c>
      <c r="E115" s="14"/>
      <c r="F115" s="16"/>
      <c r="G115" s="17"/>
      <c r="H115" s="18"/>
      <c r="J115" s="20" t="str">
        <f t="shared" si="4"/>
        <v>0.1.</v>
      </c>
      <c r="K115" s="15" t="str">
        <f t="shared" si="5"/>
        <v>0:00</v>
      </c>
      <c r="L115" s="17"/>
      <c r="M115" s="17"/>
      <c r="N115" s="22"/>
      <c r="O115" s="17"/>
      <c r="P115" s="17"/>
      <c r="Q115" s="17"/>
      <c r="R115" s="24"/>
      <c r="S115" s="23"/>
      <c r="T115" s="15" t="s">
        <v>46</v>
      </c>
      <c r="U115" s="17"/>
      <c r="V115" s="15" t="str">
        <f>IF(ISERROR(VLOOKUP(C115,#REF!,8,0)),"",VLOOKUP(C115,#REF!,8,0))</f>
        <v/>
      </c>
    </row>
    <row r="116" spans="1:22" ht="48.75" customHeight="1" x14ac:dyDescent="0.15">
      <c r="A116" s="13">
        <v>350</v>
      </c>
      <c r="B116" s="14"/>
      <c r="C116" s="14"/>
      <c r="D116" s="15" t="str">
        <f>C116&amp;COUNTIF($C$1:C116,C116)</f>
        <v>0</v>
      </c>
      <c r="E116" s="14"/>
      <c r="F116" s="16"/>
      <c r="G116" s="17"/>
      <c r="H116" s="18"/>
      <c r="J116" s="20" t="str">
        <f t="shared" si="4"/>
        <v>0.1.</v>
      </c>
      <c r="K116" s="15" t="str">
        <f t="shared" si="5"/>
        <v>0:00</v>
      </c>
      <c r="L116" s="17"/>
      <c r="M116" s="17"/>
      <c r="N116" s="22"/>
      <c r="O116" s="17"/>
      <c r="P116" s="17"/>
      <c r="Q116" s="17"/>
      <c r="R116" s="24"/>
      <c r="S116" s="23"/>
      <c r="T116" s="15" t="s">
        <v>46</v>
      </c>
      <c r="U116" s="17"/>
      <c r="V116" s="15" t="str">
        <f>IF(ISERROR(VLOOKUP(C116,#REF!,8,0)),"",VLOOKUP(C116,#REF!,8,0))</f>
        <v/>
      </c>
    </row>
    <row r="117" spans="1:22" ht="48.75" customHeight="1" x14ac:dyDescent="0.15">
      <c r="A117" s="13">
        <v>351</v>
      </c>
      <c r="B117" s="14"/>
      <c r="C117" s="14"/>
      <c r="D117" s="15" t="str">
        <f>C117&amp;COUNTIF($C$1:C117,C117)</f>
        <v>0</v>
      </c>
      <c r="E117" s="14"/>
      <c r="F117" s="16"/>
      <c r="G117" s="17"/>
      <c r="H117" s="18"/>
      <c r="J117" s="20" t="str">
        <f t="shared" si="4"/>
        <v>0.1.</v>
      </c>
      <c r="K117" s="15" t="str">
        <f t="shared" si="5"/>
        <v>0:00</v>
      </c>
      <c r="L117" s="17"/>
      <c r="M117" s="17"/>
      <c r="N117" s="22"/>
      <c r="O117" s="17"/>
      <c r="P117" s="17"/>
      <c r="Q117" s="17"/>
      <c r="R117" s="24"/>
      <c r="S117" s="23"/>
      <c r="T117" s="15" t="s">
        <v>46</v>
      </c>
      <c r="U117" s="17"/>
      <c r="V117" s="15" t="str">
        <f>IF(ISERROR(VLOOKUP(C117,#REF!,8,0)),"",VLOOKUP(C117,#REF!,8,0))</f>
        <v/>
      </c>
    </row>
    <row r="118" spans="1:22" ht="48.75" customHeight="1" x14ac:dyDescent="0.15">
      <c r="A118" s="13">
        <v>352</v>
      </c>
      <c r="B118" s="14"/>
      <c r="C118" s="14"/>
      <c r="D118" s="15" t="str">
        <f>C118&amp;COUNTIF($C$1:C118,C118)</f>
        <v>0</v>
      </c>
      <c r="E118" s="14"/>
      <c r="F118" s="16"/>
      <c r="G118" s="17"/>
      <c r="H118" s="18"/>
      <c r="J118" s="20" t="str">
        <f t="shared" si="4"/>
        <v>0.1.</v>
      </c>
      <c r="K118" s="15" t="str">
        <f t="shared" si="5"/>
        <v>0:00</v>
      </c>
      <c r="L118" s="17"/>
      <c r="M118" s="17"/>
      <c r="N118" s="22"/>
      <c r="O118" s="17"/>
      <c r="P118" s="17"/>
      <c r="Q118" s="17"/>
      <c r="R118" s="24"/>
      <c r="S118" s="23"/>
      <c r="T118" s="15" t="s">
        <v>46</v>
      </c>
      <c r="U118" s="17"/>
      <c r="V118" s="15" t="str">
        <f>IF(ISERROR(VLOOKUP(C118,#REF!,8,0)),"",VLOOKUP(C118,#REF!,8,0))</f>
        <v/>
      </c>
    </row>
    <row r="119" spans="1:22" ht="48.75" customHeight="1" x14ac:dyDescent="0.15">
      <c r="A119" s="13">
        <v>353</v>
      </c>
      <c r="B119" s="14"/>
      <c r="C119" s="14"/>
      <c r="D119" s="15" t="str">
        <f>C119&amp;COUNTIF($C$1:C119,C119)</f>
        <v>0</v>
      </c>
      <c r="E119" s="14"/>
      <c r="F119" s="16"/>
      <c r="G119" s="17"/>
      <c r="H119" s="18"/>
      <c r="J119" s="20" t="str">
        <f t="shared" si="4"/>
        <v>0.1.</v>
      </c>
      <c r="K119" s="15" t="str">
        <f t="shared" si="5"/>
        <v>0:00</v>
      </c>
      <c r="L119" s="17"/>
      <c r="M119" s="17"/>
      <c r="N119" s="22"/>
      <c r="O119" s="17"/>
      <c r="P119" s="17"/>
      <c r="Q119" s="17"/>
      <c r="R119" s="24"/>
      <c r="S119" s="23"/>
      <c r="T119" s="15" t="s">
        <v>46</v>
      </c>
      <c r="U119" s="17"/>
      <c r="V119" s="15" t="str">
        <f>IF(ISERROR(VLOOKUP(C119,#REF!,8,0)),"",VLOOKUP(C119,#REF!,8,0))</f>
        <v/>
      </c>
    </row>
    <row r="120" spans="1:22" ht="48.75" customHeight="1" x14ac:dyDescent="0.15">
      <c r="A120" s="13">
        <v>354</v>
      </c>
      <c r="B120" s="14"/>
      <c r="C120" s="14"/>
      <c r="D120" s="15" t="str">
        <f>C120&amp;COUNTIF($C$1:C120,C120)</f>
        <v>0</v>
      </c>
      <c r="E120" s="14"/>
      <c r="F120" s="16"/>
      <c r="G120" s="17"/>
      <c r="H120" s="18"/>
      <c r="J120" s="20" t="str">
        <f t="shared" si="4"/>
        <v>0.1.</v>
      </c>
      <c r="K120" s="15" t="str">
        <f t="shared" si="5"/>
        <v>0:00</v>
      </c>
      <c r="L120" s="17"/>
      <c r="M120" s="17"/>
      <c r="N120" s="22"/>
      <c r="O120" s="17"/>
      <c r="P120" s="17"/>
      <c r="Q120" s="17"/>
      <c r="R120" s="24"/>
      <c r="S120" s="23"/>
      <c r="T120" s="15" t="s">
        <v>46</v>
      </c>
      <c r="U120" s="17"/>
      <c r="V120" s="15" t="str">
        <f>IF(ISERROR(VLOOKUP(C120,#REF!,8,0)),"",VLOOKUP(C120,#REF!,8,0))</f>
        <v/>
      </c>
    </row>
    <row r="121" spans="1:22" ht="48.75" customHeight="1" x14ac:dyDescent="0.15">
      <c r="A121" s="13">
        <v>355</v>
      </c>
      <c r="B121" s="14"/>
      <c r="C121" s="14"/>
      <c r="D121" s="15" t="str">
        <f>C121&amp;COUNTIF($C$1:C121,C121)</f>
        <v>0</v>
      </c>
      <c r="E121" s="14"/>
      <c r="F121" s="16"/>
      <c r="G121" s="17"/>
      <c r="H121" s="18"/>
      <c r="J121" s="20" t="str">
        <f t="shared" si="4"/>
        <v>0.1.</v>
      </c>
      <c r="K121" s="15" t="str">
        <f t="shared" si="5"/>
        <v>0:00</v>
      </c>
      <c r="L121" s="17"/>
      <c r="M121" s="17"/>
      <c r="N121" s="22"/>
      <c r="O121" s="17"/>
      <c r="P121" s="17"/>
      <c r="Q121" s="17"/>
      <c r="R121" s="24"/>
      <c r="S121" s="23"/>
      <c r="T121" s="15" t="s">
        <v>46</v>
      </c>
      <c r="U121" s="17"/>
      <c r="V121" s="15" t="str">
        <f>IF(ISERROR(VLOOKUP(C121,#REF!,8,0)),"",VLOOKUP(C121,#REF!,8,0))</f>
        <v/>
      </c>
    </row>
    <row r="122" spans="1:22" ht="48.75" customHeight="1" x14ac:dyDescent="0.15">
      <c r="A122" s="13">
        <v>356</v>
      </c>
      <c r="B122" s="14"/>
      <c r="C122" s="14"/>
      <c r="D122" s="15" t="str">
        <f>C122&amp;COUNTIF($C$1:C122,C122)</f>
        <v>0</v>
      </c>
      <c r="E122" s="14"/>
      <c r="F122" s="16"/>
      <c r="G122" s="17"/>
      <c r="H122" s="18"/>
      <c r="J122" s="20" t="str">
        <f t="shared" si="4"/>
        <v>0.1.</v>
      </c>
      <c r="K122" s="15" t="str">
        <f t="shared" si="5"/>
        <v>0:00</v>
      </c>
      <c r="L122" s="17"/>
      <c r="M122" s="17"/>
      <c r="N122" s="22"/>
      <c r="O122" s="17"/>
      <c r="P122" s="17"/>
      <c r="Q122" s="17"/>
      <c r="R122" s="24"/>
      <c r="S122" s="23"/>
      <c r="T122" s="15" t="s">
        <v>46</v>
      </c>
      <c r="U122" s="17"/>
      <c r="V122" s="15" t="str">
        <f>IF(ISERROR(VLOOKUP(C122,#REF!,8,0)),"",VLOOKUP(C122,#REF!,8,0))</f>
        <v/>
      </c>
    </row>
    <row r="123" spans="1:22" ht="48.75" customHeight="1" x14ac:dyDescent="0.15">
      <c r="A123" s="13">
        <v>357</v>
      </c>
      <c r="B123" s="14"/>
      <c r="C123" s="14"/>
      <c r="D123" s="15" t="str">
        <f>C123&amp;COUNTIF($C$1:C123,C123)</f>
        <v>0</v>
      </c>
      <c r="E123" s="14"/>
      <c r="F123" s="16"/>
      <c r="G123" s="17"/>
      <c r="H123" s="18"/>
      <c r="J123" s="20" t="str">
        <f t="shared" si="4"/>
        <v>0.1.</v>
      </c>
      <c r="K123" s="15" t="str">
        <f t="shared" si="5"/>
        <v>0:00</v>
      </c>
      <c r="L123" s="17"/>
      <c r="M123" s="17"/>
      <c r="N123" s="22"/>
      <c r="O123" s="17"/>
      <c r="P123" s="17"/>
      <c r="Q123" s="17"/>
      <c r="R123" s="24"/>
      <c r="S123" s="23"/>
      <c r="T123" s="15" t="s">
        <v>46</v>
      </c>
      <c r="U123" s="17"/>
      <c r="V123" s="15" t="str">
        <f>IF(ISERROR(VLOOKUP(C123,#REF!,8,0)),"",VLOOKUP(C123,#REF!,8,0))</f>
        <v/>
      </c>
    </row>
    <row r="124" spans="1:22" ht="48.75" customHeight="1" x14ac:dyDescent="0.15">
      <c r="A124" s="13">
        <v>358</v>
      </c>
      <c r="B124" s="14"/>
      <c r="C124" s="14"/>
      <c r="D124" s="15" t="str">
        <f>C124&amp;COUNTIF($C$1:C124,C124)</f>
        <v>0</v>
      </c>
      <c r="E124" s="14"/>
      <c r="F124" s="16"/>
      <c r="G124" s="17"/>
      <c r="H124" s="18"/>
      <c r="J124" s="20" t="str">
        <f t="shared" si="4"/>
        <v>0.1.</v>
      </c>
      <c r="K124" s="15" t="str">
        <f t="shared" si="5"/>
        <v>0:00</v>
      </c>
      <c r="L124" s="17"/>
      <c r="M124" s="17"/>
      <c r="N124" s="22"/>
      <c r="O124" s="17"/>
      <c r="P124" s="17"/>
      <c r="Q124" s="17"/>
      <c r="R124" s="24"/>
      <c r="S124" s="23"/>
      <c r="T124" s="15" t="s">
        <v>46</v>
      </c>
      <c r="U124" s="17"/>
      <c r="V124" s="15" t="str">
        <f>IF(ISERROR(VLOOKUP(C124,#REF!,8,0)),"",VLOOKUP(C124,#REF!,8,0))</f>
        <v/>
      </c>
    </row>
    <row r="125" spans="1:22" ht="48.75" customHeight="1" x14ac:dyDescent="0.15">
      <c r="A125" s="13">
        <v>359</v>
      </c>
      <c r="B125" s="14"/>
      <c r="C125" s="14"/>
      <c r="D125" s="15" t="str">
        <f>C125&amp;COUNTIF($C$1:C125,C125)</f>
        <v>0</v>
      </c>
      <c r="E125" s="14"/>
      <c r="F125" s="16"/>
      <c r="G125" s="17"/>
      <c r="H125" s="18"/>
      <c r="J125" s="20" t="str">
        <f t="shared" si="4"/>
        <v>0.1.</v>
      </c>
      <c r="K125" s="15" t="str">
        <f t="shared" si="5"/>
        <v>0:00</v>
      </c>
      <c r="L125" s="17"/>
      <c r="M125" s="17"/>
      <c r="N125" s="22"/>
      <c r="O125" s="17"/>
      <c r="P125" s="17"/>
      <c r="Q125" s="17"/>
      <c r="R125" s="24"/>
      <c r="S125" s="23"/>
      <c r="T125" s="15" t="s">
        <v>46</v>
      </c>
      <c r="U125" s="17"/>
      <c r="V125" s="15" t="str">
        <f>IF(ISERROR(VLOOKUP(C125,#REF!,8,0)),"",VLOOKUP(C125,#REF!,8,0))</f>
        <v/>
      </c>
    </row>
    <row r="126" spans="1:22" ht="48.75" customHeight="1" x14ac:dyDescent="0.15">
      <c r="A126" s="13">
        <v>360</v>
      </c>
      <c r="B126" s="14"/>
      <c r="C126" s="14"/>
      <c r="D126" s="15" t="str">
        <f>C126&amp;COUNTIF($C$1:C126,C126)</f>
        <v>0</v>
      </c>
      <c r="E126" s="14"/>
      <c r="F126" s="16"/>
      <c r="G126" s="17"/>
      <c r="H126" s="18"/>
      <c r="J126" s="20" t="str">
        <f t="shared" si="4"/>
        <v>0.1.</v>
      </c>
      <c r="K126" s="15" t="str">
        <f t="shared" si="5"/>
        <v>0:00</v>
      </c>
      <c r="L126" s="17"/>
      <c r="M126" s="17"/>
      <c r="N126" s="22"/>
      <c r="O126" s="17"/>
      <c r="P126" s="17"/>
      <c r="Q126" s="17"/>
      <c r="R126" s="24"/>
      <c r="S126" s="23"/>
      <c r="T126" s="15" t="s">
        <v>46</v>
      </c>
      <c r="U126" s="17"/>
      <c r="V126" s="15" t="str">
        <f>IF(ISERROR(VLOOKUP(C126,#REF!,8,0)),"",VLOOKUP(C126,#REF!,8,0))</f>
        <v/>
      </c>
    </row>
    <row r="127" spans="1:22" ht="48.75" customHeight="1" x14ac:dyDescent="0.15">
      <c r="A127" s="13">
        <v>361</v>
      </c>
      <c r="B127" s="14"/>
      <c r="C127" s="14"/>
      <c r="D127" s="15" t="str">
        <f>C127&amp;COUNTIF($C$1:C127,C127)</f>
        <v>0</v>
      </c>
      <c r="E127" s="14"/>
      <c r="F127" s="16"/>
      <c r="G127" s="17"/>
      <c r="H127" s="18"/>
      <c r="J127" s="20" t="str">
        <f t="shared" si="4"/>
        <v>0.1.</v>
      </c>
      <c r="K127" s="15" t="str">
        <f t="shared" si="5"/>
        <v>0:00</v>
      </c>
      <c r="L127" s="17"/>
      <c r="M127" s="17"/>
      <c r="N127" s="22"/>
      <c r="O127" s="17"/>
      <c r="P127" s="17"/>
      <c r="Q127" s="17"/>
      <c r="R127" s="24"/>
      <c r="S127" s="23"/>
      <c r="T127" s="15" t="s">
        <v>46</v>
      </c>
      <c r="U127" s="17"/>
      <c r="V127" s="15" t="str">
        <f>IF(ISERROR(VLOOKUP(C127,#REF!,8,0)),"",VLOOKUP(C127,#REF!,8,0))</f>
        <v/>
      </c>
    </row>
    <row r="128" spans="1:22" ht="48.75" customHeight="1" x14ac:dyDescent="0.15">
      <c r="A128" s="13">
        <v>362</v>
      </c>
      <c r="B128" s="14"/>
      <c r="C128" s="14"/>
      <c r="D128" s="15" t="str">
        <f>C128&amp;COUNTIF($C$1:C128,C128)</f>
        <v>0</v>
      </c>
      <c r="E128" s="14"/>
      <c r="F128" s="16"/>
      <c r="G128" s="17"/>
      <c r="H128" s="18"/>
      <c r="J128" s="20" t="str">
        <f t="shared" si="4"/>
        <v>0.1.</v>
      </c>
      <c r="K128" s="15" t="str">
        <f t="shared" si="5"/>
        <v>0:00</v>
      </c>
      <c r="L128" s="17"/>
      <c r="M128" s="17"/>
      <c r="N128" s="22"/>
      <c r="O128" s="17"/>
      <c r="P128" s="17"/>
      <c r="Q128" s="17"/>
      <c r="R128" s="24"/>
      <c r="S128" s="23"/>
      <c r="T128" s="15" t="s">
        <v>46</v>
      </c>
      <c r="U128" s="17"/>
      <c r="V128" s="15" t="str">
        <f>IF(ISERROR(VLOOKUP(C128,#REF!,8,0)),"",VLOOKUP(C128,#REF!,8,0))</f>
        <v/>
      </c>
    </row>
    <row r="129" spans="1:22" ht="48.75" customHeight="1" x14ac:dyDescent="0.15">
      <c r="A129" s="13">
        <v>363</v>
      </c>
      <c r="B129" s="14"/>
      <c r="C129" s="14"/>
      <c r="D129" s="15" t="str">
        <f>C129&amp;COUNTIF($C$1:C129,C129)</f>
        <v>0</v>
      </c>
      <c r="E129" s="14"/>
      <c r="F129" s="16"/>
      <c r="G129" s="17"/>
      <c r="H129" s="18"/>
      <c r="J129" s="20" t="str">
        <f t="shared" si="4"/>
        <v>0.1.</v>
      </c>
      <c r="K129" s="15" t="str">
        <f t="shared" si="5"/>
        <v>0:00</v>
      </c>
      <c r="L129" s="17"/>
      <c r="M129" s="17"/>
      <c r="N129" s="22"/>
      <c r="O129" s="17"/>
      <c r="P129" s="17"/>
      <c r="Q129" s="17"/>
      <c r="R129" s="24"/>
      <c r="S129" s="23"/>
      <c r="T129" s="15" t="s">
        <v>46</v>
      </c>
      <c r="U129" s="17"/>
      <c r="V129" s="15" t="str">
        <f>IF(ISERROR(VLOOKUP(C129,#REF!,8,0)),"",VLOOKUP(C129,#REF!,8,0))</f>
        <v/>
      </c>
    </row>
    <row r="130" spans="1:22" ht="48.75" customHeight="1" x14ac:dyDescent="0.15">
      <c r="A130" s="13">
        <v>364</v>
      </c>
      <c r="B130" s="14"/>
      <c r="C130" s="14"/>
      <c r="D130" s="15" t="str">
        <f>C130&amp;COUNTIF($C$1:C130,C130)</f>
        <v>0</v>
      </c>
      <c r="E130" s="14"/>
      <c r="F130" s="16"/>
      <c r="G130" s="17"/>
      <c r="H130" s="18"/>
      <c r="J130" s="20" t="str">
        <f t="shared" ref="J130:J193" si="6">IF(ISERROR(DAY(H130)),H130,DAY(H130)&amp;"."&amp;MONTH(H130)&amp;".")</f>
        <v>0.1.</v>
      </c>
      <c r="K130" s="15" t="str">
        <f t="shared" ref="K130:K193" si="7">IF(ISERROR(HOUR(I130)&amp;":"&amp;IF(MINUTE(I130)=0,"00",MINUTE(I130))),I130,HOUR(I130)&amp;":"&amp;IF(MINUTE(I130)=0,"00",IF(MINUTE(I130)&lt;10,"0"&amp;MINUTE(I130),MINUTE(I130))))</f>
        <v>0:00</v>
      </c>
      <c r="L130" s="17"/>
      <c r="M130" s="17"/>
      <c r="N130" s="22"/>
      <c r="O130" s="17"/>
      <c r="P130" s="17"/>
      <c r="Q130" s="17"/>
      <c r="R130" s="24"/>
      <c r="S130" s="23"/>
      <c r="T130" s="15" t="s">
        <v>46</v>
      </c>
      <c r="U130" s="17"/>
      <c r="V130" s="15" t="str">
        <f>IF(ISERROR(VLOOKUP(C130,#REF!,8,0)),"",VLOOKUP(C130,#REF!,8,0))</f>
        <v/>
      </c>
    </row>
    <row r="131" spans="1:22" ht="48.75" customHeight="1" x14ac:dyDescent="0.15">
      <c r="A131" s="13">
        <v>365</v>
      </c>
      <c r="B131" s="14"/>
      <c r="C131" s="14"/>
      <c r="D131" s="15" t="str">
        <f>C131&amp;COUNTIF($C$1:C131,C131)</f>
        <v>0</v>
      </c>
      <c r="E131" s="14"/>
      <c r="F131" s="16"/>
      <c r="G131" s="17"/>
      <c r="H131" s="18"/>
      <c r="J131" s="20" t="str">
        <f t="shared" si="6"/>
        <v>0.1.</v>
      </c>
      <c r="K131" s="15" t="str">
        <f t="shared" si="7"/>
        <v>0:00</v>
      </c>
      <c r="L131" s="17"/>
      <c r="M131" s="17"/>
      <c r="N131" s="22"/>
      <c r="O131" s="17"/>
      <c r="P131" s="17"/>
      <c r="Q131" s="17"/>
      <c r="R131" s="24"/>
      <c r="S131" s="23"/>
      <c r="T131" s="15" t="s">
        <v>46</v>
      </c>
      <c r="U131" s="17"/>
      <c r="V131" s="15" t="str">
        <f>IF(ISERROR(VLOOKUP(C131,#REF!,8,0)),"",VLOOKUP(C131,#REF!,8,0))</f>
        <v/>
      </c>
    </row>
    <row r="132" spans="1:22" ht="48.75" customHeight="1" x14ac:dyDescent="0.15">
      <c r="A132" s="13">
        <v>366</v>
      </c>
      <c r="B132" s="14"/>
      <c r="C132" s="14"/>
      <c r="D132" s="15" t="str">
        <f>C132&amp;COUNTIF($C$1:C132,C132)</f>
        <v>0</v>
      </c>
      <c r="E132" s="14"/>
      <c r="F132" s="16"/>
      <c r="G132" s="17"/>
      <c r="H132" s="18"/>
      <c r="J132" s="20" t="str">
        <f t="shared" si="6"/>
        <v>0.1.</v>
      </c>
      <c r="K132" s="15" t="str">
        <f t="shared" si="7"/>
        <v>0:00</v>
      </c>
      <c r="L132" s="17"/>
      <c r="M132" s="17"/>
      <c r="N132" s="22"/>
      <c r="O132" s="17"/>
      <c r="P132" s="17"/>
      <c r="Q132" s="17"/>
      <c r="R132" s="24"/>
      <c r="S132" s="23"/>
      <c r="T132" s="15" t="s">
        <v>46</v>
      </c>
      <c r="U132" s="17"/>
      <c r="V132" s="15" t="str">
        <f>IF(ISERROR(VLOOKUP(C132,#REF!,8,0)),"",VLOOKUP(C132,#REF!,8,0))</f>
        <v/>
      </c>
    </row>
    <row r="133" spans="1:22" ht="48.75" customHeight="1" x14ac:dyDescent="0.15">
      <c r="A133" s="13">
        <v>367</v>
      </c>
      <c r="B133" s="14"/>
      <c r="C133" s="14"/>
      <c r="D133" s="15" t="str">
        <f>C133&amp;COUNTIF($C$1:C133,C133)</f>
        <v>0</v>
      </c>
      <c r="E133" s="14"/>
      <c r="F133" s="16"/>
      <c r="G133" s="17"/>
      <c r="H133" s="18"/>
      <c r="J133" s="20" t="str">
        <f t="shared" si="6"/>
        <v>0.1.</v>
      </c>
      <c r="K133" s="15" t="str">
        <f t="shared" si="7"/>
        <v>0:00</v>
      </c>
      <c r="L133" s="17"/>
      <c r="M133" s="17"/>
      <c r="N133" s="22"/>
      <c r="O133" s="17"/>
      <c r="P133" s="17"/>
      <c r="Q133" s="17"/>
      <c r="R133" s="24"/>
      <c r="S133" s="23"/>
      <c r="T133" s="15" t="s">
        <v>46</v>
      </c>
      <c r="U133" s="17"/>
      <c r="V133" s="15" t="str">
        <f>IF(ISERROR(VLOOKUP(C133,#REF!,8,0)),"",VLOOKUP(C133,#REF!,8,0))</f>
        <v/>
      </c>
    </row>
    <row r="134" spans="1:22" ht="48.75" customHeight="1" x14ac:dyDescent="0.15">
      <c r="A134" s="13">
        <v>368</v>
      </c>
      <c r="B134" s="14"/>
      <c r="C134" s="14"/>
      <c r="D134" s="15" t="str">
        <f>C134&amp;COUNTIF($C$1:C134,C134)</f>
        <v>0</v>
      </c>
      <c r="E134" s="14"/>
      <c r="F134" s="16"/>
      <c r="G134" s="17"/>
      <c r="H134" s="18"/>
      <c r="J134" s="20" t="str">
        <f t="shared" si="6"/>
        <v>0.1.</v>
      </c>
      <c r="K134" s="15" t="str">
        <f t="shared" si="7"/>
        <v>0:00</v>
      </c>
      <c r="L134" s="17"/>
      <c r="M134" s="17"/>
      <c r="N134" s="22"/>
      <c r="O134" s="17"/>
      <c r="P134" s="17"/>
      <c r="Q134" s="17"/>
      <c r="R134" s="24"/>
      <c r="S134" s="23"/>
      <c r="T134" s="15" t="s">
        <v>46</v>
      </c>
      <c r="U134" s="17"/>
      <c r="V134" s="15" t="str">
        <f>IF(ISERROR(VLOOKUP(C134,#REF!,8,0)),"",VLOOKUP(C134,#REF!,8,0))</f>
        <v/>
      </c>
    </row>
    <row r="135" spans="1:22" ht="48.75" customHeight="1" x14ac:dyDescent="0.15">
      <c r="A135" s="13">
        <v>369</v>
      </c>
      <c r="B135" s="14"/>
      <c r="C135" s="14"/>
      <c r="D135" s="15" t="str">
        <f>C135&amp;COUNTIF($C$1:C135,C135)</f>
        <v>0</v>
      </c>
      <c r="E135" s="14"/>
      <c r="F135" s="16"/>
      <c r="G135" s="17"/>
      <c r="H135" s="18"/>
      <c r="J135" s="20" t="str">
        <f t="shared" si="6"/>
        <v>0.1.</v>
      </c>
      <c r="K135" s="15" t="str">
        <f t="shared" si="7"/>
        <v>0:00</v>
      </c>
      <c r="L135" s="17"/>
      <c r="M135" s="17"/>
      <c r="N135" s="22"/>
      <c r="O135" s="17"/>
      <c r="P135" s="17"/>
      <c r="Q135" s="17"/>
      <c r="R135" s="24"/>
      <c r="S135" s="23"/>
      <c r="T135" s="15" t="s">
        <v>46</v>
      </c>
      <c r="U135" s="17"/>
      <c r="V135" s="15" t="str">
        <f>IF(ISERROR(VLOOKUP(C135,#REF!,8,0)),"",VLOOKUP(C135,#REF!,8,0))</f>
        <v/>
      </c>
    </row>
    <row r="136" spans="1:22" ht="48.75" customHeight="1" x14ac:dyDescent="0.15">
      <c r="A136" s="13">
        <v>370</v>
      </c>
      <c r="B136" s="14"/>
      <c r="C136" s="14"/>
      <c r="D136" s="15" t="str">
        <f>C136&amp;COUNTIF($C$1:C136,C136)</f>
        <v>0</v>
      </c>
      <c r="E136" s="14"/>
      <c r="F136" s="16"/>
      <c r="G136" s="17"/>
      <c r="H136" s="18"/>
      <c r="J136" s="20" t="str">
        <f t="shared" si="6"/>
        <v>0.1.</v>
      </c>
      <c r="K136" s="15" t="str">
        <f t="shared" si="7"/>
        <v>0:00</v>
      </c>
      <c r="L136" s="17"/>
      <c r="M136" s="17"/>
      <c r="N136" s="22"/>
      <c r="O136" s="17"/>
      <c r="P136" s="17"/>
      <c r="Q136" s="17"/>
      <c r="R136" s="24"/>
      <c r="S136" s="23"/>
      <c r="T136" s="15" t="s">
        <v>46</v>
      </c>
      <c r="U136" s="17"/>
      <c r="V136" s="15" t="str">
        <f>IF(ISERROR(VLOOKUP(C136,#REF!,8,0)),"",VLOOKUP(C136,#REF!,8,0))</f>
        <v/>
      </c>
    </row>
    <row r="137" spans="1:22" ht="48.75" customHeight="1" x14ac:dyDescent="0.15">
      <c r="A137" s="13">
        <v>371</v>
      </c>
      <c r="B137" s="14"/>
      <c r="C137" s="14"/>
      <c r="D137" s="15" t="str">
        <f>C137&amp;COUNTIF($C$1:C137,C137)</f>
        <v>0</v>
      </c>
      <c r="E137" s="14"/>
      <c r="F137" s="16"/>
      <c r="G137" s="17"/>
      <c r="H137" s="18"/>
      <c r="J137" s="20" t="str">
        <f t="shared" si="6"/>
        <v>0.1.</v>
      </c>
      <c r="K137" s="15" t="str">
        <f t="shared" si="7"/>
        <v>0:00</v>
      </c>
      <c r="L137" s="17"/>
      <c r="M137" s="17"/>
      <c r="N137" s="22"/>
      <c r="O137" s="17"/>
      <c r="P137" s="17"/>
      <c r="Q137" s="17"/>
      <c r="R137" s="24"/>
      <c r="S137" s="23"/>
      <c r="T137" s="15" t="s">
        <v>46</v>
      </c>
      <c r="U137" s="17"/>
      <c r="V137" s="15" t="str">
        <f>IF(ISERROR(VLOOKUP(C137,#REF!,8,0)),"",VLOOKUP(C137,#REF!,8,0))</f>
        <v/>
      </c>
    </row>
    <row r="138" spans="1:22" ht="48.75" customHeight="1" x14ac:dyDescent="0.15">
      <c r="A138" s="13">
        <v>372</v>
      </c>
      <c r="B138" s="14"/>
      <c r="C138" s="14"/>
      <c r="D138" s="15" t="str">
        <f>C138&amp;COUNTIF($C$1:C138,C138)</f>
        <v>0</v>
      </c>
      <c r="E138" s="14"/>
      <c r="F138" s="16"/>
      <c r="G138" s="17"/>
      <c r="H138" s="18"/>
      <c r="J138" s="20" t="str">
        <f t="shared" si="6"/>
        <v>0.1.</v>
      </c>
      <c r="K138" s="15" t="str">
        <f t="shared" si="7"/>
        <v>0:00</v>
      </c>
      <c r="L138" s="17"/>
      <c r="M138" s="17"/>
      <c r="N138" s="22"/>
      <c r="O138" s="17"/>
      <c r="P138" s="17"/>
      <c r="Q138" s="17"/>
      <c r="R138" s="24"/>
      <c r="S138" s="23"/>
      <c r="T138" s="15" t="s">
        <v>46</v>
      </c>
      <c r="U138" s="17"/>
      <c r="V138" s="15" t="str">
        <f>IF(ISERROR(VLOOKUP(C138,#REF!,8,0)),"",VLOOKUP(C138,#REF!,8,0))</f>
        <v/>
      </c>
    </row>
    <row r="139" spans="1:22" ht="48.75" customHeight="1" x14ac:dyDescent="0.15">
      <c r="A139" s="13">
        <v>373</v>
      </c>
      <c r="B139" s="14"/>
      <c r="C139" s="14"/>
      <c r="D139" s="15" t="str">
        <f>C139&amp;COUNTIF($C$1:C139,C139)</f>
        <v>0</v>
      </c>
      <c r="E139" s="14"/>
      <c r="F139" s="16"/>
      <c r="G139" s="17"/>
      <c r="H139" s="18"/>
      <c r="J139" s="20" t="str">
        <f t="shared" si="6"/>
        <v>0.1.</v>
      </c>
      <c r="K139" s="15" t="str">
        <f t="shared" si="7"/>
        <v>0:00</v>
      </c>
      <c r="L139" s="17"/>
      <c r="M139" s="17"/>
      <c r="N139" s="22"/>
      <c r="O139" s="17"/>
      <c r="P139" s="17"/>
      <c r="Q139" s="17"/>
      <c r="R139" s="24"/>
      <c r="S139" s="23"/>
      <c r="T139" s="15" t="s">
        <v>46</v>
      </c>
      <c r="U139" s="17"/>
      <c r="V139" s="15" t="str">
        <f>IF(ISERROR(VLOOKUP(C139,#REF!,8,0)),"",VLOOKUP(C139,#REF!,8,0))</f>
        <v/>
      </c>
    </row>
    <row r="140" spans="1:22" ht="48.75" customHeight="1" x14ac:dyDescent="0.15">
      <c r="A140" s="13">
        <v>374</v>
      </c>
      <c r="B140" s="14"/>
      <c r="C140" s="14"/>
      <c r="D140" s="15" t="str">
        <f>C140&amp;COUNTIF($C$1:C140,C140)</f>
        <v>0</v>
      </c>
      <c r="E140" s="14"/>
      <c r="F140" s="16"/>
      <c r="G140" s="17"/>
      <c r="H140" s="18"/>
      <c r="J140" s="20" t="str">
        <f t="shared" si="6"/>
        <v>0.1.</v>
      </c>
      <c r="K140" s="15" t="str">
        <f t="shared" si="7"/>
        <v>0:00</v>
      </c>
      <c r="L140" s="17"/>
      <c r="M140" s="17"/>
      <c r="N140" s="22"/>
      <c r="O140" s="17"/>
      <c r="P140" s="17"/>
      <c r="Q140" s="17"/>
      <c r="R140" s="24"/>
      <c r="S140" s="23"/>
      <c r="T140" s="15" t="s">
        <v>46</v>
      </c>
      <c r="U140" s="17"/>
      <c r="V140" s="15" t="str">
        <f>IF(ISERROR(VLOOKUP(C140,#REF!,8,0)),"",VLOOKUP(C140,#REF!,8,0))</f>
        <v/>
      </c>
    </row>
    <row r="141" spans="1:22" ht="48.75" customHeight="1" x14ac:dyDescent="0.15">
      <c r="A141" s="13">
        <v>375</v>
      </c>
      <c r="B141" s="14"/>
      <c r="C141" s="14"/>
      <c r="D141" s="15" t="str">
        <f>C141&amp;COUNTIF($C$1:C141,C141)</f>
        <v>0</v>
      </c>
      <c r="E141" s="14"/>
      <c r="F141" s="16"/>
      <c r="G141" s="17"/>
      <c r="H141" s="18"/>
      <c r="J141" s="20" t="str">
        <f t="shared" si="6"/>
        <v>0.1.</v>
      </c>
      <c r="K141" s="15" t="str">
        <f t="shared" si="7"/>
        <v>0:00</v>
      </c>
      <c r="L141" s="17"/>
      <c r="M141" s="17"/>
      <c r="N141" s="22"/>
      <c r="O141" s="17"/>
      <c r="P141" s="17"/>
      <c r="Q141" s="17"/>
      <c r="R141" s="24"/>
      <c r="S141" s="23"/>
      <c r="T141" s="15" t="s">
        <v>46</v>
      </c>
      <c r="U141" s="17"/>
      <c r="V141" s="15" t="str">
        <f>IF(ISERROR(VLOOKUP(C141,#REF!,8,0)),"",VLOOKUP(C141,#REF!,8,0))</f>
        <v/>
      </c>
    </row>
    <row r="142" spans="1:22" ht="48.75" customHeight="1" x14ac:dyDescent="0.15">
      <c r="A142" s="13">
        <v>376</v>
      </c>
      <c r="B142" s="14"/>
      <c r="C142" s="14"/>
      <c r="D142" s="15" t="str">
        <f>C142&amp;COUNTIF($C$1:C142,C142)</f>
        <v>0</v>
      </c>
      <c r="E142" s="14"/>
      <c r="F142" s="16"/>
      <c r="G142" s="17"/>
      <c r="H142" s="18"/>
      <c r="J142" s="20" t="str">
        <f t="shared" si="6"/>
        <v>0.1.</v>
      </c>
      <c r="K142" s="15" t="str">
        <f t="shared" si="7"/>
        <v>0:00</v>
      </c>
      <c r="L142" s="17"/>
      <c r="M142" s="17"/>
      <c r="N142" s="22"/>
      <c r="O142" s="17"/>
      <c r="P142" s="17"/>
      <c r="Q142" s="17"/>
      <c r="R142" s="24"/>
      <c r="S142" s="23"/>
      <c r="T142" s="15" t="s">
        <v>46</v>
      </c>
      <c r="U142" s="17"/>
      <c r="V142" s="15" t="str">
        <f>IF(ISERROR(VLOOKUP(C142,#REF!,8,0)),"",VLOOKUP(C142,#REF!,8,0))</f>
        <v/>
      </c>
    </row>
    <row r="143" spans="1:22" ht="48.75" customHeight="1" x14ac:dyDescent="0.15">
      <c r="A143" s="13">
        <v>377</v>
      </c>
      <c r="B143" s="14"/>
      <c r="C143" s="14"/>
      <c r="D143" s="15" t="str">
        <f>C143&amp;COUNTIF($C$1:C143,C143)</f>
        <v>0</v>
      </c>
      <c r="E143" s="14"/>
      <c r="F143" s="16"/>
      <c r="G143" s="17"/>
      <c r="H143" s="18"/>
      <c r="J143" s="20" t="str">
        <f t="shared" si="6"/>
        <v>0.1.</v>
      </c>
      <c r="K143" s="15" t="str">
        <f t="shared" si="7"/>
        <v>0:00</v>
      </c>
      <c r="L143" s="17"/>
      <c r="M143" s="17"/>
      <c r="N143" s="22"/>
      <c r="O143" s="17"/>
      <c r="P143" s="17"/>
      <c r="Q143" s="17"/>
      <c r="R143" s="24"/>
      <c r="S143" s="23"/>
      <c r="T143" s="15" t="s">
        <v>46</v>
      </c>
      <c r="U143" s="17"/>
      <c r="V143" s="15" t="str">
        <f>IF(ISERROR(VLOOKUP(C143,#REF!,8,0)),"",VLOOKUP(C143,#REF!,8,0))</f>
        <v/>
      </c>
    </row>
    <row r="144" spans="1:22" ht="48.75" customHeight="1" x14ac:dyDescent="0.15">
      <c r="A144" s="13">
        <v>378</v>
      </c>
      <c r="B144" s="14"/>
      <c r="C144" s="14"/>
      <c r="D144" s="15" t="str">
        <f>C144&amp;COUNTIF($C$1:C144,C144)</f>
        <v>0</v>
      </c>
      <c r="E144" s="14"/>
      <c r="F144" s="16"/>
      <c r="G144" s="17"/>
      <c r="H144" s="18"/>
      <c r="J144" s="20" t="str">
        <f t="shared" si="6"/>
        <v>0.1.</v>
      </c>
      <c r="K144" s="15" t="str">
        <f t="shared" si="7"/>
        <v>0:00</v>
      </c>
      <c r="L144" s="17"/>
      <c r="M144" s="17"/>
      <c r="N144" s="22"/>
      <c r="O144" s="17"/>
      <c r="P144" s="17"/>
      <c r="Q144" s="17"/>
      <c r="R144" s="24"/>
      <c r="S144" s="23"/>
      <c r="T144" s="15" t="s">
        <v>46</v>
      </c>
      <c r="U144" s="17"/>
      <c r="V144" s="15" t="str">
        <f>IF(ISERROR(VLOOKUP(C144,#REF!,8,0)),"",VLOOKUP(C144,#REF!,8,0))</f>
        <v/>
      </c>
    </row>
    <row r="145" spans="1:22" ht="48.75" customHeight="1" x14ac:dyDescent="0.15">
      <c r="A145" s="13">
        <v>379</v>
      </c>
      <c r="B145" s="14"/>
      <c r="C145" s="14"/>
      <c r="D145" s="15" t="str">
        <f>C145&amp;COUNTIF($C$1:C145,C145)</f>
        <v>0</v>
      </c>
      <c r="E145" s="14"/>
      <c r="F145" s="16"/>
      <c r="G145" s="17"/>
      <c r="H145" s="18"/>
      <c r="J145" s="20" t="str">
        <f t="shared" si="6"/>
        <v>0.1.</v>
      </c>
      <c r="K145" s="15" t="str">
        <f t="shared" si="7"/>
        <v>0:00</v>
      </c>
      <c r="L145" s="17"/>
      <c r="M145" s="17"/>
      <c r="N145" s="22"/>
      <c r="O145" s="17"/>
      <c r="P145" s="17"/>
      <c r="Q145" s="17"/>
      <c r="R145" s="24"/>
      <c r="S145" s="23"/>
      <c r="T145" s="15" t="s">
        <v>46</v>
      </c>
      <c r="U145" s="17"/>
      <c r="V145" s="15" t="str">
        <f>IF(ISERROR(VLOOKUP(C145,#REF!,8,0)),"",VLOOKUP(C145,#REF!,8,0))</f>
        <v/>
      </c>
    </row>
    <row r="146" spans="1:22" ht="48.75" customHeight="1" x14ac:dyDescent="0.15">
      <c r="A146" s="13">
        <v>380</v>
      </c>
      <c r="B146" s="14"/>
      <c r="C146" s="14"/>
      <c r="D146" s="15" t="str">
        <f>C146&amp;COUNTIF($C$1:C146,C146)</f>
        <v>0</v>
      </c>
      <c r="E146" s="14"/>
      <c r="F146" s="16"/>
      <c r="G146" s="17"/>
      <c r="H146" s="18"/>
      <c r="J146" s="20" t="str">
        <f t="shared" si="6"/>
        <v>0.1.</v>
      </c>
      <c r="K146" s="15" t="str">
        <f t="shared" si="7"/>
        <v>0:00</v>
      </c>
      <c r="L146" s="17"/>
      <c r="M146" s="17"/>
      <c r="N146" s="22"/>
      <c r="O146" s="17"/>
      <c r="P146" s="17"/>
      <c r="Q146" s="17"/>
      <c r="R146" s="24"/>
      <c r="S146" s="23"/>
      <c r="T146" s="15" t="s">
        <v>46</v>
      </c>
      <c r="U146" s="17"/>
      <c r="V146" s="15" t="str">
        <f>IF(ISERROR(VLOOKUP(C146,#REF!,8,0)),"",VLOOKUP(C146,#REF!,8,0))</f>
        <v/>
      </c>
    </row>
    <row r="147" spans="1:22" ht="48.75" customHeight="1" x14ac:dyDescent="0.15">
      <c r="A147" s="13">
        <v>381</v>
      </c>
      <c r="B147" s="14"/>
      <c r="C147" s="14"/>
      <c r="D147" s="15" t="str">
        <f>C147&amp;COUNTIF($C$1:C147,C147)</f>
        <v>0</v>
      </c>
      <c r="E147" s="14"/>
      <c r="F147" s="16"/>
      <c r="G147" s="17"/>
      <c r="H147" s="18"/>
      <c r="J147" s="20" t="str">
        <f t="shared" si="6"/>
        <v>0.1.</v>
      </c>
      <c r="K147" s="15" t="str">
        <f t="shared" si="7"/>
        <v>0:00</v>
      </c>
      <c r="L147" s="17"/>
      <c r="M147" s="17"/>
      <c r="N147" s="22"/>
      <c r="O147" s="17"/>
      <c r="P147" s="17"/>
      <c r="Q147" s="17"/>
      <c r="R147" s="24"/>
      <c r="S147" s="23"/>
      <c r="T147" s="15" t="s">
        <v>46</v>
      </c>
      <c r="U147" s="17"/>
      <c r="V147" s="15" t="str">
        <f>IF(ISERROR(VLOOKUP(C147,#REF!,8,0)),"",VLOOKUP(C147,#REF!,8,0))</f>
        <v/>
      </c>
    </row>
    <row r="148" spans="1:22" ht="48.75" customHeight="1" x14ac:dyDescent="0.15">
      <c r="A148" s="13">
        <v>382</v>
      </c>
      <c r="B148" s="14"/>
      <c r="C148" s="14"/>
      <c r="D148" s="15" t="str">
        <f>C148&amp;COUNTIF($C$1:C148,C148)</f>
        <v>0</v>
      </c>
      <c r="E148" s="14"/>
      <c r="F148" s="16"/>
      <c r="G148" s="17"/>
      <c r="H148" s="18"/>
      <c r="J148" s="20" t="str">
        <f t="shared" si="6"/>
        <v>0.1.</v>
      </c>
      <c r="K148" s="15" t="str">
        <f t="shared" si="7"/>
        <v>0:00</v>
      </c>
      <c r="L148" s="17"/>
      <c r="M148" s="17"/>
      <c r="N148" s="22"/>
      <c r="O148" s="17"/>
      <c r="P148" s="17"/>
      <c r="Q148" s="17"/>
      <c r="R148" s="24"/>
      <c r="S148" s="23"/>
      <c r="T148" s="15" t="s">
        <v>46</v>
      </c>
      <c r="U148" s="17"/>
      <c r="V148" s="15" t="str">
        <f>IF(ISERROR(VLOOKUP(C148,#REF!,8,0)),"",VLOOKUP(C148,#REF!,8,0))</f>
        <v/>
      </c>
    </row>
    <row r="149" spans="1:22" ht="48.75" customHeight="1" x14ac:dyDescent="0.15">
      <c r="A149" s="13">
        <v>383</v>
      </c>
      <c r="B149" s="14"/>
      <c r="C149" s="14"/>
      <c r="D149" s="15" t="str">
        <f>C149&amp;COUNTIF($C$1:C149,C149)</f>
        <v>0</v>
      </c>
      <c r="E149" s="14"/>
      <c r="F149" s="16"/>
      <c r="G149" s="17"/>
      <c r="H149" s="18"/>
      <c r="J149" s="20" t="str">
        <f t="shared" si="6"/>
        <v>0.1.</v>
      </c>
      <c r="K149" s="15" t="str">
        <f t="shared" si="7"/>
        <v>0:00</v>
      </c>
      <c r="L149" s="17"/>
      <c r="M149" s="17"/>
      <c r="N149" s="22"/>
      <c r="O149" s="17"/>
      <c r="P149" s="17"/>
      <c r="Q149" s="17"/>
      <c r="R149" s="24"/>
      <c r="S149" s="23"/>
      <c r="T149" s="15" t="s">
        <v>46</v>
      </c>
      <c r="U149" s="17"/>
      <c r="V149" s="15" t="str">
        <f>IF(ISERROR(VLOOKUP(C149,#REF!,8,0)),"",VLOOKUP(C149,#REF!,8,0))</f>
        <v/>
      </c>
    </row>
    <row r="150" spans="1:22" ht="48.75" customHeight="1" x14ac:dyDescent="0.15">
      <c r="A150" s="13">
        <v>384</v>
      </c>
      <c r="B150" s="14"/>
      <c r="C150" s="14"/>
      <c r="D150" s="15" t="str">
        <f>C150&amp;COUNTIF($C$1:C150,C150)</f>
        <v>0</v>
      </c>
      <c r="E150" s="14"/>
      <c r="F150" s="16"/>
      <c r="G150" s="17"/>
      <c r="H150" s="18"/>
      <c r="J150" s="20" t="str">
        <f t="shared" si="6"/>
        <v>0.1.</v>
      </c>
      <c r="K150" s="15" t="str">
        <f t="shared" si="7"/>
        <v>0:00</v>
      </c>
      <c r="L150" s="17"/>
      <c r="M150" s="17"/>
      <c r="N150" s="22"/>
      <c r="O150" s="17"/>
      <c r="P150" s="17"/>
      <c r="Q150" s="17"/>
      <c r="R150" s="24"/>
      <c r="S150" s="23"/>
      <c r="T150" s="15" t="s">
        <v>46</v>
      </c>
      <c r="U150" s="17"/>
      <c r="V150" s="15" t="str">
        <f>IF(ISERROR(VLOOKUP(C150,#REF!,8,0)),"",VLOOKUP(C150,#REF!,8,0))</f>
        <v/>
      </c>
    </row>
    <row r="151" spans="1:22" ht="48.75" customHeight="1" x14ac:dyDescent="0.15">
      <c r="A151" s="13">
        <v>385</v>
      </c>
      <c r="B151" s="14"/>
      <c r="C151" s="14"/>
      <c r="D151" s="15" t="str">
        <f>C151&amp;COUNTIF($C$1:C151,C151)</f>
        <v>0</v>
      </c>
      <c r="E151" s="14"/>
      <c r="F151" s="16"/>
      <c r="G151" s="17"/>
      <c r="H151" s="18"/>
      <c r="J151" s="20" t="str">
        <f t="shared" si="6"/>
        <v>0.1.</v>
      </c>
      <c r="K151" s="15" t="str">
        <f t="shared" si="7"/>
        <v>0:00</v>
      </c>
      <c r="L151" s="17"/>
      <c r="M151" s="17"/>
      <c r="N151" s="22"/>
      <c r="O151" s="17"/>
      <c r="P151" s="17"/>
      <c r="Q151" s="17"/>
      <c r="R151" s="24"/>
      <c r="S151" s="23"/>
      <c r="T151" s="15" t="s">
        <v>46</v>
      </c>
      <c r="U151" s="17"/>
      <c r="V151" s="15" t="str">
        <f>IF(ISERROR(VLOOKUP(C151,#REF!,8,0)),"",VLOOKUP(C151,#REF!,8,0))</f>
        <v/>
      </c>
    </row>
    <row r="152" spans="1:22" ht="48.75" customHeight="1" x14ac:dyDescent="0.15">
      <c r="A152" s="13">
        <v>386</v>
      </c>
      <c r="B152" s="14"/>
      <c r="C152" s="14"/>
      <c r="D152" s="15" t="str">
        <f>C152&amp;COUNTIF($C$1:C152,C152)</f>
        <v>0</v>
      </c>
      <c r="E152" s="14"/>
      <c r="F152" s="16"/>
      <c r="G152" s="17"/>
      <c r="H152" s="18"/>
      <c r="J152" s="20" t="str">
        <f t="shared" si="6"/>
        <v>0.1.</v>
      </c>
      <c r="K152" s="15" t="str">
        <f t="shared" si="7"/>
        <v>0:00</v>
      </c>
      <c r="L152" s="17"/>
      <c r="M152" s="17"/>
      <c r="N152" s="22"/>
      <c r="O152" s="17"/>
      <c r="P152" s="17"/>
      <c r="Q152" s="17"/>
      <c r="R152" s="24"/>
      <c r="S152" s="23"/>
      <c r="T152" s="15" t="s">
        <v>46</v>
      </c>
      <c r="U152" s="17"/>
      <c r="V152" s="15" t="str">
        <f>IF(ISERROR(VLOOKUP(C152,#REF!,8,0)),"",VLOOKUP(C152,#REF!,8,0))</f>
        <v/>
      </c>
    </row>
    <row r="153" spans="1:22" ht="48.75" customHeight="1" x14ac:dyDescent="0.15">
      <c r="A153" s="13">
        <v>387</v>
      </c>
      <c r="B153" s="14"/>
      <c r="C153" s="14"/>
      <c r="D153" s="15" t="str">
        <f>C153&amp;COUNTIF($C$1:C153,C153)</f>
        <v>0</v>
      </c>
      <c r="E153" s="14"/>
      <c r="F153" s="16"/>
      <c r="G153" s="17"/>
      <c r="H153" s="18"/>
      <c r="J153" s="20" t="str">
        <f t="shared" si="6"/>
        <v>0.1.</v>
      </c>
      <c r="K153" s="15" t="str">
        <f t="shared" si="7"/>
        <v>0:00</v>
      </c>
      <c r="L153" s="17"/>
      <c r="M153" s="17"/>
      <c r="N153" s="22"/>
      <c r="O153" s="17"/>
      <c r="P153" s="17"/>
      <c r="Q153" s="17"/>
      <c r="R153" s="24"/>
      <c r="S153" s="23"/>
      <c r="T153" s="15" t="s">
        <v>46</v>
      </c>
      <c r="U153" s="17"/>
      <c r="V153" s="15" t="str">
        <f>IF(ISERROR(VLOOKUP(C153,#REF!,8,0)),"",VLOOKUP(C153,#REF!,8,0))</f>
        <v/>
      </c>
    </row>
    <row r="154" spans="1:22" ht="48.75" customHeight="1" x14ac:dyDescent="0.15">
      <c r="A154" s="13">
        <v>388</v>
      </c>
      <c r="B154" s="14"/>
      <c r="C154" s="14"/>
      <c r="D154" s="15" t="str">
        <f>C154&amp;COUNTIF($C$1:C154,C154)</f>
        <v>0</v>
      </c>
      <c r="E154" s="14"/>
      <c r="F154" s="16"/>
      <c r="G154" s="17"/>
      <c r="H154" s="18"/>
      <c r="J154" s="20" t="str">
        <f t="shared" si="6"/>
        <v>0.1.</v>
      </c>
      <c r="K154" s="15" t="str">
        <f t="shared" si="7"/>
        <v>0:00</v>
      </c>
      <c r="L154" s="17"/>
      <c r="M154" s="17"/>
      <c r="N154" s="22"/>
      <c r="O154" s="17"/>
      <c r="P154" s="17"/>
      <c r="Q154" s="17"/>
      <c r="R154" s="24"/>
      <c r="S154" s="23"/>
      <c r="T154" s="15" t="s">
        <v>46</v>
      </c>
      <c r="U154" s="17"/>
      <c r="V154" s="15" t="str">
        <f>IF(ISERROR(VLOOKUP(C154,#REF!,8,0)),"",VLOOKUP(C154,#REF!,8,0))</f>
        <v/>
      </c>
    </row>
    <row r="155" spans="1:22" ht="48.75" customHeight="1" x14ac:dyDescent="0.15">
      <c r="A155" s="13">
        <v>389</v>
      </c>
      <c r="B155" s="14"/>
      <c r="C155" s="14"/>
      <c r="D155" s="15" t="str">
        <f>C155&amp;COUNTIF($C$1:C155,C155)</f>
        <v>0</v>
      </c>
      <c r="E155" s="14"/>
      <c r="F155" s="16"/>
      <c r="G155" s="17"/>
      <c r="H155" s="18"/>
      <c r="J155" s="20" t="str">
        <f t="shared" si="6"/>
        <v>0.1.</v>
      </c>
      <c r="K155" s="15" t="str">
        <f t="shared" si="7"/>
        <v>0:00</v>
      </c>
      <c r="L155" s="17"/>
      <c r="M155" s="17"/>
      <c r="N155" s="22"/>
      <c r="O155" s="17"/>
      <c r="P155" s="17"/>
      <c r="Q155" s="17"/>
      <c r="R155" s="24"/>
      <c r="S155" s="23"/>
      <c r="T155" s="15" t="s">
        <v>46</v>
      </c>
      <c r="U155" s="17"/>
      <c r="V155" s="15" t="str">
        <f>IF(ISERROR(VLOOKUP(C155,#REF!,8,0)),"",VLOOKUP(C155,#REF!,8,0))</f>
        <v/>
      </c>
    </row>
    <row r="156" spans="1:22" ht="48.75" customHeight="1" x14ac:dyDescent="0.15">
      <c r="A156" s="13">
        <v>390</v>
      </c>
      <c r="B156" s="14"/>
      <c r="C156" s="14"/>
      <c r="D156" s="15" t="str">
        <f>C156&amp;COUNTIF($C$1:C156,C156)</f>
        <v>0</v>
      </c>
      <c r="E156" s="14"/>
      <c r="F156" s="16"/>
      <c r="G156" s="17"/>
      <c r="H156" s="18"/>
      <c r="J156" s="20" t="str">
        <f t="shared" si="6"/>
        <v>0.1.</v>
      </c>
      <c r="K156" s="15" t="str">
        <f t="shared" si="7"/>
        <v>0:00</v>
      </c>
      <c r="L156" s="17"/>
      <c r="M156" s="17"/>
      <c r="N156" s="22"/>
      <c r="O156" s="17"/>
      <c r="P156" s="17"/>
      <c r="Q156" s="17"/>
      <c r="R156" s="24"/>
      <c r="S156" s="23"/>
      <c r="T156" s="15" t="s">
        <v>46</v>
      </c>
      <c r="U156" s="17"/>
      <c r="V156" s="15" t="str">
        <f>IF(ISERROR(VLOOKUP(C156,#REF!,8,0)),"",VLOOKUP(C156,#REF!,8,0))</f>
        <v/>
      </c>
    </row>
    <row r="157" spans="1:22" ht="48.75" customHeight="1" x14ac:dyDescent="0.15">
      <c r="A157" s="13">
        <v>391</v>
      </c>
      <c r="B157" s="14"/>
      <c r="C157" s="14"/>
      <c r="D157" s="15" t="str">
        <f>C157&amp;COUNTIF($C$1:C157,C157)</f>
        <v>0</v>
      </c>
      <c r="E157" s="14"/>
      <c r="F157" s="16"/>
      <c r="G157" s="17"/>
      <c r="H157" s="18"/>
      <c r="J157" s="20" t="str">
        <f t="shared" si="6"/>
        <v>0.1.</v>
      </c>
      <c r="K157" s="15" t="str">
        <f t="shared" si="7"/>
        <v>0:00</v>
      </c>
      <c r="L157" s="17"/>
      <c r="M157" s="17"/>
      <c r="N157" s="22"/>
      <c r="O157" s="17"/>
      <c r="P157" s="17"/>
      <c r="Q157" s="17"/>
      <c r="R157" s="24"/>
      <c r="S157" s="23"/>
      <c r="T157" s="15" t="s">
        <v>46</v>
      </c>
      <c r="U157" s="17"/>
      <c r="V157" s="15" t="str">
        <f>IF(ISERROR(VLOOKUP(C157,#REF!,8,0)),"",VLOOKUP(C157,#REF!,8,0))</f>
        <v/>
      </c>
    </row>
    <row r="158" spans="1:22" ht="48.75" customHeight="1" x14ac:dyDescent="0.15">
      <c r="A158" s="13">
        <v>392</v>
      </c>
      <c r="B158" s="14"/>
      <c r="C158" s="14"/>
      <c r="D158" s="15" t="str">
        <f>C158&amp;COUNTIF($C$1:C158,C158)</f>
        <v>0</v>
      </c>
      <c r="E158" s="14"/>
      <c r="F158" s="16"/>
      <c r="G158" s="17"/>
      <c r="H158" s="18"/>
      <c r="J158" s="20" t="str">
        <f t="shared" si="6"/>
        <v>0.1.</v>
      </c>
      <c r="K158" s="15" t="str">
        <f t="shared" si="7"/>
        <v>0:00</v>
      </c>
      <c r="L158" s="17"/>
      <c r="M158" s="17"/>
      <c r="N158" s="22"/>
      <c r="O158" s="17"/>
      <c r="P158" s="17"/>
      <c r="Q158" s="17"/>
      <c r="R158" s="24"/>
      <c r="S158" s="23"/>
      <c r="T158" s="15" t="s">
        <v>46</v>
      </c>
      <c r="U158" s="17"/>
      <c r="V158" s="15" t="str">
        <f>IF(ISERROR(VLOOKUP(C158,#REF!,8,0)),"",VLOOKUP(C158,#REF!,8,0))</f>
        <v/>
      </c>
    </row>
    <row r="159" spans="1:22" ht="48.75" customHeight="1" x14ac:dyDescent="0.15">
      <c r="A159" s="13">
        <v>393</v>
      </c>
      <c r="B159" s="14"/>
      <c r="C159" s="14"/>
      <c r="D159" s="15" t="str">
        <f>C159&amp;COUNTIF($C$1:C159,C159)</f>
        <v>0</v>
      </c>
      <c r="E159" s="14"/>
      <c r="F159" s="16"/>
      <c r="G159" s="17"/>
      <c r="H159" s="18"/>
      <c r="J159" s="20" t="str">
        <f t="shared" si="6"/>
        <v>0.1.</v>
      </c>
      <c r="K159" s="15" t="str">
        <f t="shared" si="7"/>
        <v>0:00</v>
      </c>
      <c r="L159" s="17"/>
      <c r="M159" s="17"/>
      <c r="N159" s="22"/>
      <c r="O159" s="17"/>
      <c r="P159" s="17"/>
      <c r="Q159" s="17"/>
      <c r="R159" s="24"/>
      <c r="S159" s="23"/>
      <c r="T159" s="15" t="s">
        <v>46</v>
      </c>
      <c r="U159" s="17"/>
      <c r="V159" s="15" t="str">
        <f>IF(ISERROR(VLOOKUP(C159,#REF!,8,0)),"",VLOOKUP(C159,#REF!,8,0))</f>
        <v/>
      </c>
    </row>
    <row r="160" spans="1:22" ht="48.75" customHeight="1" x14ac:dyDescent="0.15">
      <c r="A160" s="13">
        <v>394</v>
      </c>
      <c r="B160" s="14"/>
      <c r="C160" s="14"/>
      <c r="D160" s="15" t="str">
        <f>C160&amp;COUNTIF($C$1:C160,C160)</f>
        <v>0</v>
      </c>
      <c r="E160" s="14"/>
      <c r="F160" s="16"/>
      <c r="G160" s="17"/>
      <c r="H160" s="18"/>
      <c r="J160" s="20" t="str">
        <f t="shared" si="6"/>
        <v>0.1.</v>
      </c>
      <c r="K160" s="15" t="str">
        <f t="shared" si="7"/>
        <v>0:00</v>
      </c>
      <c r="L160" s="17"/>
      <c r="M160" s="17"/>
      <c r="N160" s="22"/>
      <c r="O160" s="17"/>
      <c r="P160" s="17"/>
      <c r="Q160" s="17"/>
      <c r="R160" s="24"/>
      <c r="S160" s="23"/>
      <c r="T160" s="15" t="s">
        <v>46</v>
      </c>
      <c r="U160" s="17"/>
      <c r="V160" s="15" t="str">
        <f>IF(ISERROR(VLOOKUP(C160,#REF!,8,0)),"",VLOOKUP(C160,#REF!,8,0))</f>
        <v/>
      </c>
    </row>
    <row r="161" spans="1:22" ht="48.75" customHeight="1" x14ac:dyDescent="0.15">
      <c r="A161" s="13">
        <v>395</v>
      </c>
      <c r="B161" s="14"/>
      <c r="C161" s="14"/>
      <c r="D161" s="15" t="str">
        <f>C161&amp;COUNTIF($C$1:C161,C161)</f>
        <v>0</v>
      </c>
      <c r="E161" s="14"/>
      <c r="F161" s="16"/>
      <c r="G161" s="17"/>
      <c r="H161" s="18"/>
      <c r="J161" s="20" t="str">
        <f t="shared" si="6"/>
        <v>0.1.</v>
      </c>
      <c r="K161" s="15" t="str">
        <f t="shared" si="7"/>
        <v>0:00</v>
      </c>
      <c r="L161" s="17"/>
      <c r="M161" s="17"/>
      <c r="N161" s="22"/>
      <c r="O161" s="17"/>
      <c r="P161" s="17"/>
      <c r="Q161" s="17"/>
      <c r="R161" s="24"/>
      <c r="S161" s="23"/>
      <c r="T161" s="15" t="s">
        <v>46</v>
      </c>
      <c r="U161" s="17"/>
      <c r="V161" s="15" t="str">
        <f>IF(ISERROR(VLOOKUP(C161,#REF!,8,0)),"",VLOOKUP(C161,#REF!,8,0))</f>
        <v/>
      </c>
    </row>
    <row r="162" spans="1:22" ht="48.75" customHeight="1" x14ac:dyDescent="0.15">
      <c r="A162" s="13">
        <v>396</v>
      </c>
      <c r="B162" s="14"/>
      <c r="C162" s="14"/>
      <c r="D162" s="15" t="str">
        <f>C162&amp;COUNTIF($C$1:C162,C162)</f>
        <v>0</v>
      </c>
      <c r="E162" s="14"/>
      <c r="F162" s="16"/>
      <c r="G162" s="17"/>
      <c r="H162" s="18"/>
      <c r="J162" s="20" t="str">
        <f t="shared" si="6"/>
        <v>0.1.</v>
      </c>
      <c r="K162" s="15" t="str">
        <f t="shared" si="7"/>
        <v>0:00</v>
      </c>
      <c r="L162" s="17"/>
      <c r="M162" s="17"/>
      <c r="N162" s="22"/>
      <c r="O162" s="17"/>
      <c r="P162" s="17"/>
      <c r="Q162" s="17"/>
      <c r="R162" s="24"/>
      <c r="S162" s="23"/>
      <c r="T162" s="15" t="s">
        <v>46</v>
      </c>
      <c r="U162" s="17"/>
      <c r="V162" s="15" t="str">
        <f>IF(ISERROR(VLOOKUP(C162,#REF!,8,0)),"",VLOOKUP(C162,#REF!,8,0))</f>
        <v/>
      </c>
    </row>
    <row r="163" spans="1:22" ht="48.75" customHeight="1" x14ac:dyDescent="0.15">
      <c r="A163" s="13">
        <v>397</v>
      </c>
      <c r="B163" s="14"/>
      <c r="C163" s="14"/>
      <c r="D163" s="15" t="str">
        <f>C163&amp;COUNTIF($C$1:C163,C163)</f>
        <v>0</v>
      </c>
      <c r="E163" s="14"/>
      <c r="F163" s="16"/>
      <c r="G163" s="17"/>
      <c r="H163" s="18"/>
      <c r="J163" s="20" t="str">
        <f t="shared" si="6"/>
        <v>0.1.</v>
      </c>
      <c r="K163" s="15" t="str">
        <f t="shared" si="7"/>
        <v>0:00</v>
      </c>
      <c r="L163" s="17"/>
      <c r="M163" s="17"/>
      <c r="N163" s="22"/>
      <c r="O163" s="17"/>
      <c r="P163" s="17"/>
      <c r="Q163" s="17"/>
      <c r="R163" s="24"/>
      <c r="S163" s="23"/>
      <c r="T163" s="15" t="s">
        <v>46</v>
      </c>
      <c r="U163" s="17"/>
      <c r="V163" s="15" t="str">
        <f>IF(ISERROR(VLOOKUP(C163,#REF!,8,0)),"",VLOOKUP(C163,#REF!,8,0))</f>
        <v/>
      </c>
    </row>
    <row r="164" spans="1:22" ht="48.75" customHeight="1" x14ac:dyDescent="0.15">
      <c r="A164" s="13">
        <v>398</v>
      </c>
      <c r="B164" s="14"/>
      <c r="C164" s="14"/>
      <c r="D164" s="15" t="str">
        <f>C164&amp;COUNTIF($C$1:C164,C164)</f>
        <v>0</v>
      </c>
      <c r="E164" s="14"/>
      <c r="F164" s="16"/>
      <c r="G164" s="17"/>
      <c r="H164" s="18"/>
      <c r="J164" s="20" t="str">
        <f t="shared" si="6"/>
        <v>0.1.</v>
      </c>
      <c r="K164" s="15" t="str">
        <f t="shared" si="7"/>
        <v>0:00</v>
      </c>
      <c r="L164" s="17"/>
      <c r="M164" s="17"/>
      <c r="N164" s="22"/>
      <c r="O164" s="17"/>
      <c r="P164" s="17"/>
      <c r="Q164" s="17"/>
      <c r="R164" s="24"/>
      <c r="S164" s="23"/>
      <c r="T164" s="15" t="s">
        <v>46</v>
      </c>
      <c r="U164" s="17"/>
      <c r="V164" s="15" t="str">
        <f>IF(ISERROR(VLOOKUP(C164,#REF!,8,0)),"",VLOOKUP(C164,#REF!,8,0))</f>
        <v/>
      </c>
    </row>
    <row r="165" spans="1:22" ht="48.75" customHeight="1" x14ac:dyDescent="0.15">
      <c r="A165" s="13">
        <v>399</v>
      </c>
      <c r="B165" s="14"/>
      <c r="C165" s="14"/>
      <c r="D165" s="15" t="str">
        <f>C165&amp;COUNTIF($C$1:C165,C165)</f>
        <v>0</v>
      </c>
      <c r="E165" s="14"/>
      <c r="F165" s="16"/>
      <c r="G165" s="17"/>
      <c r="H165" s="18"/>
      <c r="J165" s="20" t="str">
        <f t="shared" si="6"/>
        <v>0.1.</v>
      </c>
      <c r="K165" s="15" t="str">
        <f t="shared" si="7"/>
        <v>0:00</v>
      </c>
      <c r="L165" s="17"/>
      <c r="M165" s="17"/>
      <c r="N165" s="22"/>
      <c r="O165" s="17"/>
      <c r="P165" s="17"/>
      <c r="Q165" s="17"/>
      <c r="R165" s="24"/>
      <c r="S165" s="23"/>
      <c r="T165" s="15" t="s">
        <v>46</v>
      </c>
      <c r="U165" s="17"/>
      <c r="V165" s="15" t="str">
        <f>IF(ISERROR(VLOOKUP(C165,#REF!,8,0)),"",VLOOKUP(C165,#REF!,8,0))</f>
        <v/>
      </c>
    </row>
    <row r="166" spans="1:22" ht="48.75" customHeight="1" x14ac:dyDescent="0.15">
      <c r="A166" s="13">
        <v>400</v>
      </c>
      <c r="B166" s="14"/>
      <c r="C166" s="14"/>
      <c r="D166" s="15" t="str">
        <f>C166&amp;COUNTIF($C$1:C166,C166)</f>
        <v>0</v>
      </c>
      <c r="E166" s="14"/>
      <c r="F166" s="16"/>
      <c r="G166" s="17"/>
      <c r="H166" s="18"/>
      <c r="J166" s="20" t="str">
        <f t="shared" si="6"/>
        <v>0.1.</v>
      </c>
      <c r="K166" s="15" t="str">
        <f t="shared" si="7"/>
        <v>0:00</v>
      </c>
      <c r="L166" s="17"/>
      <c r="M166" s="17"/>
      <c r="N166" s="22"/>
      <c r="O166" s="17"/>
      <c r="P166" s="17"/>
      <c r="Q166" s="17"/>
      <c r="R166" s="24"/>
      <c r="S166" s="23"/>
      <c r="T166" s="15" t="s">
        <v>46</v>
      </c>
      <c r="U166" s="17"/>
      <c r="V166" s="15" t="str">
        <f>IF(ISERROR(VLOOKUP(C166,#REF!,8,0)),"",VLOOKUP(C166,#REF!,8,0))</f>
        <v/>
      </c>
    </row>
    <row r="167" spans="1:22" ht="48.75" customHeight="1" x14ac:dyDescent="0.15">
      <c r="A167" s="13">
        <v>401</v>
      </c>
      <c r="B167" s="14"/>
      <c r="C167" s="14"/>
      <c r="D167" s="15" t="str">
        <f>C167&amp;COUNTIF($C$1:C167,C167)</f>
        <v>0</v>
      </c>
      <c r="E167" s="14"/>
      <c r="F167" s="16"/>
      <c r="G167" s="17"/>
      <c r="H167" s="18"/>
      <c r="J167" s="20" t="str">
        <f t="shared" si="6"/>
        <v>0.1.</v>
      </c>
      <c r="K167" s="15" t="str">
        <f t="shared" si="7"/>
        <v>0:00</v>
      </c>
      <c r="L167" s="17"/>
      <c r="M167" s="17"/>
      <c r="N167" s="22"/>
      <c r="O167" s="17"/>
      <c r="P167" s="17"/>
      <c r="Q167" s="17"/>
      <c r="R167" s="24"/>
      <c r="S167" s="23"/>
      <c r="T167" s="15" t="s">
        <v>46</v>
      </c>
      <c r="U167" s="17"/>
      <c r="V167" s="15" t="str">
        <f>IF(ISERROR(VLOOKUP(C167,#REF!,8,0)),"",VLOOKUP(C167,#REF!,8,0))</f>
        <v/>
      </c>
    </row>
    <row r="168" spans="1:22" ht="48.75" customHeight="1" x14ac:dyDescent="0.15">
      <c r="A168" s="13">
        <v>402</v>
      </c>
      <c r="B168" s="14"/>
      <c r="C168" s="14"/>
      <c r="D168" s="15" t="str">
        <f>C168&amp;COUNTIF($C$1:C168,C168)</f>
        <v>0</v>
      </c>
      <c r="E168" s="14"/>
      <c r="F168" s="16"/>
      <c r="G168" s="17"/>
      <c r="H168" s="18"/>
      <c r="J168" s="20" t="str">
        <f t="shared" si="6"/>
        <v>0.1.</v>
      </c>
      <c r="K168" s="15" t="str">
        <f t="shared" si="7"/>
        <v>0:00</v>
      </c>
      <c r="L168" s="17"/>
      <c r="M168" s="17"/>
      <c r="N168" s="22"/>
      <c r="O168" s="17"/>
      <c r="P168" s="17"/>
      <c r="Q168" s="17"/>
      <c r="R168" s="24"/>
      <c r="S168" s="23"/>
      <c r="T168" s="15" t="s">
        <v>46</v>
      </c>
      <c r="U168" s="17"/>
      <c r="V168" s="15" t="str">
        <f>IF(ISERROR(VLOOKUP(C168,#REF!,8,0)),"",VLOOKUP(C168,#REF!,8,0))</f>
        <v/>
      </c>
    </row>
    <row r="169" spans="1:22" ht="48.75" customHeight="1" x14ac:dyDescent="0.15">
      <c r="A169" s="13">
        <v>403</v>
      </c>
      <c r="B169" s="14"/>
      <c r="C169" s="14"/>
      <c r="D169" s="15" t="str">
        <f>C169&amp;COUNTIF($C$1:C169,C169)</f>
        <v>0</v>
      </c>
      <c r="E169" s="14"/>
      <c r="F169" s="16"/>
      <c r="G169" s="17"/>
      <c r="H169" s="18"/>
      <c r="J169" s="20" t="str">
        <f t="shared" si="6"/>
        <v>0.1.</v>
      </c>
      <c r="K169" s="15" t="str">
        <f t="shared" si="7"/>
        <v>0:00</v>
      </c>
      <c r="L169" s="17"/>
      <c r="M169" s="17"/>
      <c r="N169" s="22"/>
      <c r="O169" s="17"/>
      <c r="P169" s="17"/>
      <c r="Q169" s="17"/>
      <c r="R169" s="24"/>
      <c r="S169" s="23"/>
      <c r="T169" s="15" t="s">
        <v>46</v>
      </c>
      <c r="U169" s="17"/>
      <c r="V169" s="15" t="str">
        <f>IF(ISERROR(VLOOKUP(C169,#REF!,8,0)),"",VLOOKUP(C169,#REF!,8,0))</f>
        <v/>
      </c>
    </row>
    <row r="170" spans="1:22" ht="48.75" customHeight="1" x14ac:dyDescent="0.15">
      <c r="A170" s="13">
        <v>404</v>
      </c>
      <c r="B170" s="14"/>
      <c r="C170" s="14"/>
      <c r="D170" s="15" t="str">
        <f>C170&amp;COUNTIF($C$1:C170,C170)</f>
        <v>0</v>
      </c>
      <c r="E170" s="14"/>
      <c r="F170" s="16"/>
      <c r="G170" s="17"/>
      <c r="H170" s="18"/>
      <c r="J170" s="20" t="str">
        <f t="shared" si="6"/>
        <v>0.1.</v>
      </c>
      <c r="K170" s="15" t="str">
        <f t="shared" si="7"/>
        <v>0:00</v>
      </c>
      <c r="L170" s="17"/>
      <c r="M170" s="17"/>
      <c r="N170" s="22"/>
      <c r="O170" s="17"/>
      <c r="P170" s="17"/>
      <c r="Q170" s="17"/>
      <c r="R170" s="24"/>
      <c r="S170" s="23"/>
      <c r="T170" s="15" t="s">
        <v>46</v>
      </c>
      <c r="U170" s="17"/>
      <c r="V170" s="15" t="str">
        <f>IF(ISERROR(VLOOKUP(C170,#REF!,8,0)),"",VLOOKUP(C170,#REF!,8,0))</f>
        <v/>
      </c>
    </row>
    <row r="171" spans="1:22" ht="48.75" customHeight="1" x14ac:dyDescent="0.15">
      <c r="A171" s="13">
        <v>405</v>
      </c>
      <c r="B171" s="14"/>
      <c r="C171" s="14"/>
      <c r="D171" s="15" t="str">
        <f>C171&amp;COUNTIF($C$1:C171,C171)</f>
        <v>0</v>
      </c>
      <c r="E171" s="14"/>
      <c r="F171" s="16"/>
      <c r="G171" s="17"/>
      <c r="H171" s="18"/>
      <c r="J171" s="20" t="str">
        <f t="shared" si="6"/>
        <v>0.1.</v>
      </c>
      <c r="K171" s="15" t="str">
        <f t="shared" si="7"/>
        <v>0:00</v>
      </c>
      <c r="L171" s="17"/>
      <c r="M171" s="17"/>
      <c r="N171" s="22"/>
      <c r="O171" s="17"/>
      <c r="P171" s="17"/>
      <c r="Q171" s="17"/>
      <c r="R171" s="24"/>
      <c r="S171" s="23"/>
      <c r="T171" s="15" t="s">
        <v>46</v>
      </c>
      <c r="U171" s="17"/>
      <c r="V171" s="15" t="str">
        <f>IF(ISERROR(VLOOKUP(C171,#REF!,8,0)),"",VLOOKUP(C171,#REF!,8,0))</f>
        <v/>
      </c>
    </row>
    <row r="172" spans="1:22" ht="48.75" customHeight="1" x14ac:dyDescent="0.15">
      <c r="A172" s="13">
        <v>406</v>
      </c>
      <c r="B172" s="14"/>
      <c r="C172" s="14"/>
      <c r="D172" s="15" t="str">
        <f>C172&amp;COUNTIF($C$1:C172,C172)</f>
        <v>0</v>
      </c>
      <c r="E172" s="14"/>
      <c r="F172" s="16"/>
      <c r="G172" s="17"/>
      <c r="H172" s="18"/>
      <c r="J172" s="20" t="str">
        <f t="shared" si="6"/>
        <v>0.1.</v>
      </c>
      <c r="K172" s="15" t="str">
        <f t="shared" si="7"/>
        <v>0:00</v>
      </c>
      <c r="L172" s="17"/>
      <c r="M172" s="17"/>
      <c r="N172" s="22"/>
      <c r="O172" s="17"/>
      <c r="P172" s="17"/>
      <c r="Q172" s="17"/>
      <c r="R172" s="24"/>
      <c r="S172" s="23"/>
      <c r="T172" s="15" t="s">
        <v>46</v>
      </c>
      <c r="U172" s="17"/>
      <c r="V172" s="15" t="str">
        <f>IF(ISERROR(VLOOKUP(C172,#REF!,8,0)),"",VLOOKUP(C172,#REF!,8,0))</f>
        <v/>
      </c>
    </row>
    <row r="173" spans="1:22" ht="48.75" customHeight="1" x14ac:dyDescent="0.15">
      <c r="A173" s="13">
        <v>407</v>
      </c>
      <c r="B173" s="14"/>
      <c r="C173" s="14"/>
      <c r="D173" s="15" t="str">
        <f>C173&amp;COUNTIF($C$1:C173,C173)</f>
        <v>0</v>
      </c>
      <c r="E173" s="14"/>
      <c r="F173" s="16"/>
      <c r="G173" s="17"/>
      <c r="H173" s="18"/>
      <c r="J173" s="20" t="str">
        <f t="shared" si="6"/>
        <v>0.1.</v>
      </c>
      <c r="K173" s="15" t="str">
        <f t="shared" si="7"/>
        <v>0:00</v>
      </c>
      <c r="L173" s="17"/>
      <c r="M173" s="17"/>
      <c r="N173" s="22"/>
      <c r="O173" s="17"/>
      <c r="P173" s="17"/>
      <c r="Q173" s="17"/>
      <c r="R173" s="24"/>
      <c r="S173" s="23"/>
      <c r="T173" s="15" t="s">
        <v>46</v>
      </c>
      <c r="U173" s="17"/>
      <c r="V173" s="15" t="str">
        <f>IF(ISERROR(VLOOKUP(C173,#REF!,8,0)),"",VLOOKUP(C173,#REF!,8,0))</f>
        <v/>
      </c>
    </row>
    <row r="174" spans="1:22" ht="48.75" customHeight="1" x14ac:dyDescent="0.15">
      <c r="A174" s="13">
        <v>408</v>
      </c>
      <c r="B174" s="14"/>
      <c r="C174" s="14"/>
      <c r="D174" s="15" t="str">
        <f>C174&amp;COUNTIF($C$1:C174,C174)</f>
        <v>0</v>
      </c>
      <c r="E174" s="14"/>
      <c r="F174" s="16"/>
      <c r="G174" s="17"/>
      <c r="H174" s="18"/>
      <c r="J174" s="20" t="str">
        <f t="shared" si="6"/>
        <v>0.1.</v>
      </c>
      <c r="K174" s="15" t="str">
        <f t="shared" si="7"/>
        <v>0:00</v>
      </c>
      <c r="L174" s="17"/>
      <c r="M174" s="17"/>
      <c r="N174" s="22"/>
      <c r="O174" s="17"/>
      <c r="P174" s="17"/>
      <c r="Q174" s="17"/>
      <c r="R174" s="24"/>
      <c r="S174" s="23"/>
      <c r="T174" s="15" t="s">
        <v>46</v>
      </c>
      <c r="U174" s="17"/>
      <c r="V174" s="15" t="str">
        <f>IF(ISERROR(VLOOKUP(C174,#REF!,8,0)),"",VLOOKUP(C174,#REF!,8,0))</f>
        <v/>
      </c>
    </row>
    <row r="175" spans="1:22" ht="48.75" customHeight="1" x14ac:dyDescent="0.15">
      <c r="A175" s="13">
        <v>409</v>
      </c>
      <c r="B175" s="14"/>
      <c r="C175" s="14"/>
      <c r="D175" s="15" t="str">
        <f>C175&amp;COUNTIF($C$1:C175,C175)</f>
        <v>0</v>
      </c>
      <c r="E175" s="14"/>
      <c r="F175" s="16"/>
      <c r="G175" s="17"/>
      <c r="H175" s="18"/>
      <c r="J175" s="20" t="str">
        <f t="shared" si="6"/>
        <v>0.1.</v>
      </c>
      <c r="K175" s="15" t="str">
        <f t="shared" si="7"/>
        <v>0:00</v>
      </c>
      <c r="L175" s="17"/>
      <c r="M175" s="17"/>
      <c r="N175" s="22"/>
      <c r="O175" s="17"/>
      <c r="P175" s="17"/>
      <c r="Q175" s="17"/>
      <c r="R175" s="24"/>
      <c r="S175" s="23"/>
      <c r="T175" s="15" t="s">
        <v>46</v>
      </c>
      <c r="U175" s="17"/>
      <c r="V175" s="15" t="str">
        <f>IF(ISERROR(VLOOKUP(C175,#REF!,8,0)),"",VLOOKUP(C175,#REF!,8,0))</f>
        <v/>
      </c>
    </row>
    <row r="176" spans="1:22" ht="48.75" customHeight="1" x14ac:dyDescent="0.15">
      <c r="A176" s="13">
        <v>410</v>
      </c>
      <c r="B176" s="14"/>
      <c r="C176" s="14"/>
      <c r="D176" s="15" t="str">
        <f>C176&amp;COUNTIF($C$1:C176,C176)</f>
        <v>0</v>
      </c>
      <c r="E176" s="14"/>
      <c r="F176" s="16"/>
      <c r="G176" s="17"/>
      <c r="H176" s="18"/>
      <c r="J176" s="20" t="str">
        <f t="shared" si="6"/>
        <v>0.1.</v>
      </c>
      <c r="K176" s="15" t="str">
        <f t="shared" si="7"/>
        <v>0:00</v>
      </c>
      <c r="L176" s="17"/>
      <c r="M176" s="17"/>
      <c r="N176" s="22"/>
      <c r="O176" s="17"/>
      <c r="P176" s="17"/>
      <c r="Q176" s="17"/>
      <c r="R176" s="24"/>
      <c r="S176" s="23"/>
      <c r="T176" s="15" t="s">
        <v>46</v>
      </c>
      <c r="U176" s="17"/>
      <c r="V176" s="15" t="str">
        <f>IF(ISERROR(VLOOKUP(C176,#REF!,8,0)),"",VLOOKUP(C176,#REF!,8,0))</f>
        <v/>
      </c>
    </row>
    <row r="177" spans="1:22" ht="48.75" customHeight="1" x14ac:dyDescent="0.15">
      <c r="A177" s="13">
        <v>411</v>
      </c>
      <c r="B177" s="14"/>
      <c r="C177" s="14"/>
      <c r="D177" s="15" t="str">
        <f>C177&amp;COUNTIF($C$1:C177,C177)</f>
        <v>0</v>
      </c>
      <c r="E177" s="14"/>
      <c r="F177" s="16"/>
      <c r="G177" s="17"/>
      <c r="H177" s="18"/>
      <c r="J177" s="20" t="str">
        <f t="shared" si="6"/>
        <v>0.1.</v>
      </c>
      <c r="K177" s="15" t="str">
        <f t="shared" si="7"/>
        <v>0:00</v>
      </c>
      <c r="L177" s="17"/>
      <c r="M177" s="17"/>
      <c r="N177" s="22"/>
      <c r="O177" s="17"/>
      <c r="P177" s="17"/>
      <c r="Q177" s="17"/>
      <c r="R177" s="24"/>
      <c r="S177" s="23"/>
      <c r="T177" s="15" t="s">
        <v>46</v>
      </c>
      <c r="U177" s="17"/>
      <c r="V177" s="15" t="str">
        <f>IF(ISERROR(VLOOKUP(C177,#REF!,8,0)),"",VLOOKUP(C177,#REF!,8,0))</f>
        <v/>
      </c>
    </row>
    <row r="178" spans="1:22" ht="48.75" customHeight="1" x14ac:dyDescent="0.15">
      <c r="A178" s="13">
        <v>412</v>
      </c>
      <c r="B178" s="14"/>
      <c r="C178" s="14"/>
      <c r="D178" s="15" t="str">
        <f>C178&amp;COUNTIF($C$1:C178,C178)</f>
        <v>0</v>
      </c>
      <c r="E178" s="14"/>
      <c r="F178" s="16"/>
      <c r="G178" s="17"/>
      <c r="H178" s="18"/>
      <c r="J178" s="20" t="str">
        <f t="shared" si="6"/>
        <v>0.1.</v>
      </c>
      <c r="K178" s="15" t="str">
        <f t="shared" si="7"/>
        <v>0:00</v>
      </c>
      <c r="L178" s="17"/>
      <c r="M178" s="17"/>
      <c r="N178" s="22"/>
      <c r="O178" s="17"/>
      <c r="P178" s="17"/>
      <c r="Q178" s="17"/>
      <c r="R178" s="24"/>
      <c r="S178" s="23"/>
      <c r="T178" s="15" t="s">
        <v>46</v>
      </c>
      <c r="U178" s="17"/>
      <c r="V178" s="15" t="str">
        <f>IF(ISERROR(VLOOKUP(C178,#REF!,8,0)),"",VLOOKUP(C178,#REF!,8,0))</f>
        <v/>
      </c>
    </row>
    <row r="179" spans="1:22" ht="48.75" customHeight="1" x14ac:dyDescent="0.15">
      <c r="A179" s="13">
        <v>413</v>
      </c>
      <c r="B179" s="14"/>
      <c r="C179" s="14"/>
      <c r="D179" s="15" t="str">
        <f>C179&amp;COUNTIF($C$1:C179,C179)</f>
        <v>0</v>
      </c>
      <c r="E179" s="14"/>
      <c r="F179" s="16"/>
      <c r="G179" s="17"/>
      <c r="H179" s="18"/>
      <c r="J179" s="20" t="str">
        <f t="shared" si="6"/>
        <v>0.1.</v>
      </c>
      <c r="K179" s="15" t="str">
        <f t="shared" si="7"/>
        <v>0:00</v>
      </c>
      <c r="L179" s="17"/>
      <c r="M179" s="17"/>
      <c r="N179" s="22"/>
      <c r="O179" s="17"/>
      <c r="P179" s="17"/>
      <c r="Q179" s="17"/>
      <c r="R179" s="24"/>
      <c r="S179" s="23"/>
      <c r="T179" s="15" t="s">
        <v>46</v>
      </c>
      <c r="U179" s="17"/>
      <c r="V179" s="15" t="str">
        <f>IF(ISERROR(VLOOKUP(C179,#REF!,8,0)),"",VLOOKUP(C179,#REF!,8,0))</f>
        <v/>
      </c>
    </row>
    <row r="180" spans="1:22" ht="48.75" customHeight="1" x14ac:dyDescent="0.15">
      <c r="A180" s="13">
        <v>414</v>
      </c>
      <c r="B180" s="14"/>
      <c r="C180" s="14"/>
      <c r="D180" s="15" t="str">
        <f>C180&amp;COUNTIF($C$1:C180,C180)</f>
        <v>0</v>
      </c>
      <c r="E180" s="14"/>
      <c r="F180" s="16"/>
      <c r="G180" s="17"/>
      <c r="H180" s="18"/>
      <c r="J180" s="20" t="str">
        <f t="shared" si="6"/>
        <v>0.1.</v>
      </c>
      <c r="K180" s="15" t="str">
        <f t="shared" si="7"/>
        <v>0:00</v>
      </c>
      <c r="L180" s="17"/>
      <c r="M180" s="17"/>
      <c r="N180" s="22"/>
      <c r="O180" s="17"/>
      <c r="P180" s="17"/>
      <c r="Q180" s="17"/>
      <c r="R180" s="24"/>
      <c r="S180" s="23"/>
      <c r="T180" s="15" t="s">
        <v>46</v>
      </c>
      <c r="U180" s="17"/>
      <c r="V180" s="15" t="str">
        <f>IF(ISERROR(VLOOKUP(C180,#REF!,8,0)),"",VLOOKUP(C180,#REF!,8,0))</f>
        <v/>
      </c>
    </row>
    <row r="181" spans="1:22" ht="48.75" customHeight="1" x14ac:dyDescent="0.15">
      <c r="A181" s="13">
        <v>415</v>
      </c>
      <c r="B181" s="14"/>
      <c r="C181" s="14"/>
      <c r="D181" s="15" t="str">
        <f>C181&amp;COUNTIF($C$1:C181,C181)</f>
        <v>0</v>
      </c>
      <c r="E181" s="14"/>
      <c r="F181" s="16"/>
      <c r="G181" s="17"/>
      <c r="H181" s="18"/>
      <c r="J181" s="20" t="str">
        <f t="shared" si="6"/>
        <v>0.1.</v>
      </c>
      <c r="K181" s="15" t="str">
        <f t="shared" si="7"/>
        <v>0:00</v>
      </c>
      <c r="L181" s="17"/>
      <c r="M181" s="17"/>
      <c r="N181" s="22"/>
      <c r="O181" s="17"/>
      <c r="P181" s="17"/>
      <c r="Q181" s="17"/>
      <c r="R181" s="24"/>
      <c r="S181" s="23"/>
      <c r="T181" s="15" t="s">
        <v>46</v>
      </c>
      <c r="U181" s="17"/>
      <c r="V181" s="15" t="str">
        <f>IF(ISERROR(VLOOKUP(C181,#REF!,8,0)),"",VLOOKUP(C181,#REF!,8,0))</f>
        <v/>
      </c>
    </row>
    <row r="182" spans="1:22" ht="48.75" customHeight="1" x14ac:dyDescent="0.15">
      <c r="A182" s="13">
        <v>416</v>
      </c>
      <c r="B182" s="14"/>
      <c r="C182" s="14"/>
      <c r="D182" s="15" t="str">
        <f>C182&amp;COUNTIF($C$1:C182,C182)</f>
        <v>0</v>
      </c>
      <c r="E182" s="14"/>
      <c r="F182" s="16"/>
      <c r="G182" s="17"/>
      <c r="H182" s="18"/>
      <c r="J182" s="20" t="str">
        <f t="shared" si="6"/>
        <v>0.1.</v>
      </c>
      <c r="K182" s="15" t="str">
        <f t="shared" si="7"/>
        <v>0:00</v>
      </c>
      <c r="L182" s="17"/>
      <c r="M182" s="17"/>
      <c r="N182" s="22"/>
      <c r="O182" s="17"/>
      <c r="P182" s="17"/>
      <c r="Q182" s="17"/>
      <c r="R182" s="24"/>
      <c r="S182" s="23"/>
      <c r="T182" s="15" t="s">
        <v>46</v>
      </c>
      <c r="U182" s="17"/>
      <c r="V182" s="15" t="str">
        <f>IF(ISERROR(VLOOKUP(C182,#REF!,8,0)),"",VLOOKUP(C182,#REF!,8,0))</f>
        <v/>
      </c>
    </row>
    <row r="183" spans="1:22" ht="48.75" customHeight="1" x14ac:dyDescent="0.15">
      <c r="A183" s="13">
        <v>417</v>
      </c>
      <c r="B183" s="14"/>
      <c r="C183" s="14"/>
      <c r="D183" s="15" t="str">
        <f>C183&amp;COUNTIF($C$1:C183,C183)</f>
        <v>0</v>
      </c>
      <c r="E183" s="14"/>
      <c r="F183" s="16"/>
      <c r="G183" s="17"/>
      <c r="H183" s="18"/>
      <c r="J183" s="20" t="str">
        <f t="shared" si="6"/>
        <v>0.1.</v>
      </c>
      <c r="K183" s="15" t="str">
        <f t="shared" si="7"/>
        <v>0:00</v>
      </c>
      <c r="L183" s="17"/>
      <c r="M183" s="17"/>
      <c r="N183" s="22"/>
      <c r="O183" s="17"/>
      <c r="P183" s="17"/>
      <c r="Q183" s="17"/>
      <c r="R183" s="24"/>
      <c r="S183" s="23"/>
      <c r="T183" s="15" t="s">
        <v>46</v>
      </c>
      <c r="U183" s="17"/>
      <c r="V183" s="15" t="str">
        <f>IF(ISERROR(VLOOKUP(C183,#REF!,8,0)),"",VLOOKUP(C183,#REF!,8,0))</f>
        <v/>
      </c>
    </row>
    <row r="184" spans="1:22" ht="48.75" customHeight="1" x14ac:dyDescent="0.15">
      <c r="A184" s="13">
        <v>418</v>
      </c>
      <c r="B184" s="14"/>
      <c r="C184" s="14"/>
      <c r="D184" s="15" t="str">
        <f>C184&amp;COUNTIF($C$1:C184,C184)</f>
        <v>0</v>
      </c>
      <c r="E184" s="14"/>
      <c r="F184" s="16"/>
      <c r="G184" s="17"/>
      <c r="H184" s="18"/>
      <c r="J184" s="20" t="str">
        <f t="shared" si="6"/>
        <v>0.1.</v>
      </c>
      <c r="K184" s="15" t="str">
        <f t="shared" si="7"/>
        <v>0:00</v>
      </c>
      <c r="L184" s="17"/>
      <c r="M184" s="17"/>
      <c r="N184" s="22"/>
      <c r="O184" s="17"/>
      <c r="P184" s="17"/>
      <c r="Q184" s="17"/>
      <c r="R184" s="24"/>
      <c r="S184" s="23"/>
      <c r="T184" s="15" t="s">
        <v>46</v>
      </c>
      <c r="U184" s="17"/>
      <c r="V184" s="15" t="str">
        <f>IF(ISERROR(VLOOKUP(C184,#REF!,8,0)),"",VLOOKUP(C184,#REF!,8,0))</f>
        <v/>
      </c>
    </row>
    <row r="185" spans="1:22" ht="48.75" customHeight="1" x14ac:dyDescent="0.15">
      <c r="A185" s="13">
        <v>419</v>
      </c>
      <c r="B185" s="14"/>
      <c r="C185" s="14"/>
      <c r="D185" s="15" t="str">
        <f>C185&amp;COUNTIF($C$1:C185,C185)</f>
        <v>0</v>
      </c>
      <c r="E185" s="14"/>
      <c r="F185" s="16"/>
      <c r="G185" s="17"/>
      <c r="H185" s="18"/>
      <c r="J185" s="20" t="str">
        <f t="shared" si="6"/>
        <v>0.1.</v>
      </c>
      <c r="K185" s="15" t="str">
        <f t="shared" si="7"/>
        <v>0:00</v>
      </c>
      <c r="L185" s="17"/>
      <c r="M185" s="17"/>
      <c r="N185" s="22"/>
      <c r="O185" s="17"/>
      <c r="P185" s="17"/>
      <c r="Q185" s="17"/>
      <c r="R185" s="24"/>
      <c r="S185" s="23"/>
      <c r="T185" s="15" t="s">
        <v>46</v>
      </c>
      <c r="U185" s="17"/>
      <c r="V185" s="15" t="str">
        <f>IF(ISERROR(VLOOKUP(C185,#REF!,8,0)),"",VLOOKUP(C185,#REF!,8,0))</f>
        <v/>
      </c>
    </row>
    <row r="186" spans="1:22" ht="48.75" customHeight="1" x14ac:dyDescent="0.15">
      <c r="A186" s="13">
        <v>420</v>
      </c>
      <c r="B186" s="14"/>
      <c r="C186" s="14"/>
      <c r="D186" s="15" t="str">
        <f>C186&amp;COUNTIF($C$1:C186,C186)</f>
        <v>0</v>
      </c>
      <c r="E186" s="14"/>
      <c r="F186" s="16"/>
      <c r="G186" s="17"/>
      <c r="H186" s="18"/>
      <c r="J186" s="20" t="str">
        <f t="shared" si="6"/>
        <v>0.1.</v>
      </c>
      <c r="K186" s="15" t="str">
        <f t="shared" si="7"/>
        <v>0:00</v>
      </c>
      <c r="L186" s="17"/>
      <c r="M186" s="17"/>
      <c r="N186" s="22"/>
      <c r="O186" s="17"/>
      <c r="P186" s="17"/>
      <c r="Q186" s="17"/>
      <c r="R186" s="24"/>
      <c r="S186" s="23"/>
      <c r="T186" s="15" t="s">
        <v>46</v>
      </c>
      <c r="U186" s="17"/>
      <c r="V186" s="15" t="str">
        <f>IF(ISERROR(VLOOKUP(C186,#REF!,8,0)),"",VLOOKUP(C186,#REF!,8,0))</f>
        <v/>
      </c>
    </row>
    <row r="187" spans="1:22" ht="48.75" customHeight="1" x14ac:dyDescent="0.15">
      <c r="A187" s="13">
        <v>421</v>
      </c>
      <c r="B187" s="14"/>
      <c r="C187" s="14"/>
      <c r="D187" s="15" t="str">
        <f>C187&amp;COUNTIF($C$1:C187,C187)</f>
        <v>0</v>
      </c>
      <c r="E187" s="14"/>
      <c r="F187" s="16"/>
      <c r="G187" s="17"/>
      <c r="H187" s="18"/>
      <c r="J187" s="20" t="str">
        <f t="shared" si="6"/>
        <v>0.1.</v>
      </c>
      <c r="K187" s="15" t="str">
        <f t="shared" si="7"/>
        <v>0:00</v>
      </c>
      <c r="L187" s="17"/>
      <c r="M187" s="17"/>
      <c r="N187" s="22"/>
      <c r="O187" s="17"/>
      <c r="P187" s="17"/>
      <c r="Q187" s="17"/>
      <c r="R187" s="24"/>
      <c r="S187" s="23"/>
      <c r="T187" s="15" t="s">
        <v>46</v>
      </c>
      <c r="U187" s="17"/>
      <c r="V187" s="15" t="str">
        <f>IF(ISERROR(VLOOKUP(C187,#REF!,8,0)),"",VLOOKUP(C187,#REF!,8,0))</f>
        <v/>
      </c>
    </row>
    <row r="188" spans="1:22" ht="48.75" customHeight="1" x14ac:dyDescent="0.15">
      <c r="A188" s="13">
        <v>422</v>
      </c>
      <c r="B188" s="14"/>
      <c r="C188" s="14"/>
      <c r="D188" s="15" t="str">
        <f>C188&amp;COUNTIF($C$1:C188,C188)</f>
        <v>0</v>
      </c>
      <c r="E188" s="14"/>
      <c r="F188" s="16"/>
      <c r="G188" s="17"/>
      <c r="H188" s="18"/>
      <c r="J188" s="20" t="str">
        <f t="shared" si="6"/>
        <v>0.1.</v>
      </c>
      <c r="K188" s="15" t="str">
        <f t="shared" si="7"/>
        <v>0:00</v>
      </c>
      <c r="L188" s="17"/>
      <c r="M188" s="17"/>
      <c r="N188" s="22"/>
      <c r="O188" s="17"/>
      <c r="P188" s="17"/>
      <c r="Q188" s="17"/>
      <c r="R188" s="24"/>
      <c r="S188" s="23"/>
      <c r="T188" s="15" t="s">
        <v>46</v>
      </c>
      <c r="U188" s="17"/>
      <c r="V188" s="15" t="str">
        <f>IF(ISERROR(VLOOKUP(C188,#REF!,8,0)),"",VLOOKUP(C188,#REF!,8,0))</f>
        <v/>
      </c>
    </row>
    <row r="189" spans="1:22" ht="48.75" customHeight="1" x14ac:dyDescent="0.15">
      <c r="A189" s="13">
        <v>423</v>
      </c>
      <c r="B189" s="14"/>
      <c r="C189" s="14"/>
      <c r="D189" s="15" t="str">
        <f>C189&amp;COUNTIF($C$1:C189,C189)</f>
        <v>0</v>
      </c>
      <c r="E189" s="14"/>
      <c r="F189" s="16"/>
      <c r="G189" s="17"/>
      <c r="H189" s="18"/>
      <c r="J189" s="20" t="str">
        <f t="shared" si="6"/>
        <v>0.1.</v>
      </c>
      <c r="K189" s="15" t="str">
        <f t="shared" si="7"/>
        <v>0:00</v>
      </c>
      <c r="L189" s="17"/>
      <c r="M189" s="17"/>
      <c r="N189" s="22"/>
      <c r="O189" s="17"/>
      <c r="P189" s="17"/>
      <c r="Q189" s="17"/>
      <c r="R189" s="24"/>
      <c r="S189" s="23"/>
      <c r="T189" s="15" t="s">
        <v>46</v>
      </c>
      <c r="U189" s="17"/>
      <c r="V189" s="15" t="str">
        <f>IF(ISERROR(VLOOKUP(C189,#REF!,8,0)),"",VLOOKUP(C189,#REF!,8,0))</f>
        <v/>
      </c>
    </row>
    <row r="190" spans="1:22" ht="48.75" customHeight="1" x14ac:dyDescent="0.15">
      <c r="A190" s="13">
        <v>424</v>
      </c>
      <c r="B190" s="14"/>
      <c r="C190" s="14"/>
      <c r="D190" s="15" t="str">
        <f>C190&amp;COUNTIF($C$1:C190,C190)</f>
        <v>0</v>
      </c>
      <c r="E190" s="14"/>
      <c r="F190" s="16"/>
      <c r="G190" s="17"/>
      <c r="H190" s="18"/>
      <c r="J190" s="20" t="str">
        <f t="shared" si="6"/>
        <v>0.1.</v>
      </c>
      <c r="K190" s="15" t="str">
        <f t="shared" si="7"/>
        <v>0:00</v>
      </c>
      <c r="L190" s="17"/>
      <c r="M190" s="17"/>
      <c r="N190" s="22"/>
      <c r="O190" s="17"/>
      <c r="P190" s="17"/>
      <c r="Q190" s="17"/>
      <c r="R190" s="24"/>
      <c r="S190" s="23"/>
      <c r="T190" s="15" t="s">
        <v>46</v>
      </c>
      <c r="U190" s="17"/>
      <c r="V190" s="15" t="str">
        <f>IF(ISERROR(VLOOKUP(C190,#REF!,8,0)),"",VLOOKUP(C190,#REF!,8,0))</f>
        <v/>
      </c>
    </row>
    <row r="191" spans="1:22" ht="48.75" customHeight="1" x14ac:dyDescent="0.15">
      <c r="A191" s="13">
        <v>425</v>
      </c>
      <c r="B191" s="14"/>
      <c r="C191" s="14"/>
      <c r="D191" s="15" t="str">
        <f>C191&amp;COUNTIF($C$1:C191,C191)</f>
        <v>0</v>
      </c>
      <c r="E191" s="14"/>
      <c r="F191" s="16"/>
      <c r="G191" s="17"/>
      <c r="H191" s="18"/>
      <c r="J191" s="20" t="str">
        <f t="shared" si="6"/>
        <v>0.1.</v>
      </c>
      <c r="K191" s="15" t="str">
        <f t="shared" si="7"/>
        <v>0:00</v>
      </c>
      <c r="L191" s="17"/>
      <c r="M191" s="17"/>
      <c r="N191" s="22"/>
      <c r="O191" s="17"/>
      <c r="P191" s="17"/>
      <c r="Q191" s="17"/>
      <c r="R191" s="24"/>
      <c r="S191" s="23"/>
      <c r="T191" s="15" t="s">
        <v>46</v>
      </c>
      <c r="U191" s="17"/>
      <c r="V191" s="15" t="str">
        <f>IF(ISERROR(VLOOKUP(C191,#REF!,8,0)),"",VLOOKUP(C191,#REF!,8,0))</f>
        <v/>
      </c>
    </row>
    <row r="192" spans="1:22" ht="48.75" customHeight="1" x14ac:dyDescent="0.15">
      <c r="A192" s="13">
        <v>426</v>
      </c>
      <c r="B192" s="14"/>
      <c r="C192" s="14"/>
      <c r="D192" s="15" t="str">
        <f>C192&amp;COUNTIF($C$1:C192,C192)</f>
        <v>0</v>
      </c>
      <c r="E192" s="14"/>
      <c r="F192" s="16"/>
      <c r="G192" s="17"/>
      <c r="H192" s="18"/>
      <c r="J192" s="20" t="str">
        <f t="shared" si="6"/>
        <v>0.1.</v>
      </c>
      <c r="K192" s="15" t="str">
        <f t="shared" si="7"/>
        <v>0:00</v>
      </c>
      <c r="L192" s="17"/>
      <c r="M192" s="17"/>
      <c r="N192" s="22"/>
      <c r="O192" s="17"/>
      <c r="P192" s="17"/>
      <c r="Q192" s="17"/>
      <c r="R192" s="24"/>
      <c r="S192" s="23"/>
      <c r="T192" s="15" t="s">
        <v>46</v>
      </c>
      <c r="U192" s="17"/>
      <c r="V192" s="15" t="str">
        <f>IF(ISERROR(VLOOKUP(C192,#REF!,8,0)),"",VLOOKUP(C192,#REF!,8,0))</f>
        <v/>
      </c>
    </row>
    <row r="193" spans="1:22" ht="48.75" customHeight="1" x14ac:dyDescent="0.15">
      <c r="A193" s="13">
        <v>427</v>
      </c>
      <c r="B193" s="14"/>
      <c r="C193" s="14"/>
      <c r="D193" s="15" t="str">
        <f>C193&amp;COUNTIF($C$1:C193,C193)</f>
        <v>0</v>
      </c>
      <c r="E193" s="14"/>
      <c r="F193" s="16"/>
      <c r="G193" s="17"/>
      <c r="H193" s="18"/>
      <c r="J193" s="20" t="str">
        <f t="shared" si="6"/>
        <v>0.1.</v>
      </c>
      <c r="K193" s="15" t="str">
        <f t="shared" si="7"/>
        <v>0:00</v>
      </c>
      <c r="L193" s="17"/>
      <c r="M193" s="17"/>
      <c r="N193" s="22"/>
      <c r="O193" s="17"/>
      <c r="P193" s="17"/>
      <c r="Q193" s="17"/>
      <c r="R193" s="24"/>
      <c r="S193" s="23"/>
      <c r="T193" s="15" t="s">
        <v>46</v>
      </c>
      <c r="U193" s="17"/>
      <c r="V193" s="15" t="str">
        <f>IF(ISERROR(VLOOKUP(C193,#REF!,8,0)),"",VLOOKUP(C193,#REF!,8,0))</f>
        <v/>
      </c>
    </row>
    <row r="194" spans="1:22" ht="48.75" customHeight="1" x14ac:dyDescent="0.15">
      <c r="A194" s="13">
        <v>428</v>
      </c>
      <c r="B194" s="14"/>
      <c r="C194" s="14"/>
      <c r="D194" s="15" t="str">
        <f>C194&amp;COUNTIF($C$1:C194,C194)</f>
        <v>0</v>
      </c>
      <c r="E194" s="14"/>
      <c r="F194" s="16"/>
      <c r="G194" s="17"/>
      <c r="H194" s="18"/>
      <c r="J194" s="20" t="str">
        <f t="shared" ref="J194:J257" si="8">IF(ISERROR(DAY(H194)),H194,DAY(H194)&amp;"."&amp;MONTH(H194)&amp;".")</f>
        <v>0.1.</v>
      </c>
      <c r="K194" s="15" t="str">
        <f t="shared" ref="K194:K257" si="9">IF(ISERROR(HOUR(I194)&amp;":"&amp;IF(MINUTE(I194)=0,"00",MINUTE(I194))),I194,HOUR(I194)&amp;":"&amp;IF(MINUTE(I194)=0,"00",IF(MINUTE(I194)&lt;10,"0"&amp;MINUTE(I194),MINUTE(I194))))</f>
        <v>0:00</v>
      </c>
      <c r="L194" s="17"/>
      <c r="M194" s="17"/>
      <c r="N194" s="22"/>
      <c r="O194" s="17"/>
      <c r="P194" s="17"/>
      <c r="Q194" s="17"/>
      <c r="R194" s="24"/>
      <c r="S194" s="23"/>
      <c r="T194" s="15" t="s">
        <v>46</v>
      </c>
      <c r="U194" s="17"/>
      <c r="V194" s="15" t="str">
        <f>IF(ISERROR(VLOOKUP(C194,#REF!,8,0)),"",VLOOKUP(C194,#REF!,8,0))</f>
        <v/>
      </c>
    </row>
    <row r="195" spans="1:22" ht="48.75" customHeight="1" x14ac:dyDescent="0.15">
      <c r="A195" s="13">
        <v>429</v>
      </c>
      <c r="B195" s="14"/>
      <c r="C195" s="14"/>
      <c r="D195" s="15" t="str">
        <f>C195&amp;COUNTIF($C$1:C195,C195)</f>
        <v>0</v>
      </c>
      <c r="E195" s="14"/>
      <c r="F195" s="16"/>
      <c r="G195" s="17"/>
      <c r="H195" s="18"/>
      <c r="J195" s="20" t="str">
        <f t="shared" si="8"/>
        <v>0.1.</v>
      </c>
      <c r="K195" s="15" t="str">
        <f t="shared" si="9"/>
        <v>0:00</v>
      </c>
      <c r="L195" s="17"/>
      <c r="M195" s="17"/>
      <c r="N195" s="22"/>
      <c r="O195" s="17"/>
      <c r="P195" s="17"/>
      <c r="Q195" s="17"/>
      <c r="R195" s="24"/>
      <c r="S195" s="23"/>
      <c r="T195" s="15" t="s">
        <v>46</v>
      </c>
      <c r="U195" s="17"/>
      <c r="V195" s="15" t="str">
        <f>IF(ISERROR(VLOOKUP(C195,#REF!,8,0)),"",VLOOKUP(C195,#REF!,8,0))</f>
        <v/>
      </c>
    </row>
    <row r="196" spans="1:22" ht="48.75" customHeight="1" x14ac:dyDescent="0.15">
      <c r="A196" s="13">
        <v>430</v>
      </c>
      <c r="B196" s="14"/>
      <c r="C196" s="14"/>
      <c r="D196" s="15" t="str">
        <f>C196&amp;COUNTIF($C$1:C196,C196)</f>
        <v>0</v>
      </c>
      <c r="E196" s="14"/>
      <c r="F196" s="16"/>
      <c r="G196" s="17"/>
      <c r="H196" s="18"/>
      <c r="J196" s="20" t="str">
        <f t="shared" si="8"/>
        <v>0.1.</v>
      </c>
      <c r="K196" s="15" t="str">
        <f t="shared" si="9"/>
        <v>0:00</v>
      </c>
      <c r="L196" s="17"/>
      <c r="M196" s="17"/>
      <c r="N196" s="22"/>
      <c r="O196" s="17"/>
      <c r="P196" s="17"/>
      <c r="Q196" s="17"/>
      <c r="R196" s="24"/>
      <c r="S196" s="23"/>
      <c r="T196" s="15" t="s">
        <v>46</v>
      </c>
      <c r="U196" s="17"/>
      <c r="V196" s="15" t="str">
        <f>IF(ISERROR(VLOOKUP(C196,#REF!,8,0)),"",VLOOKUP(C196,#REF!,8,0))</f>
        <v/>
      </c>
    </row>
    <row r="197" spans="1:22" ht="48.75" customHeight="1" x14ac:dyDescent="0.15">
      <c r="A197" s="13">
        <v>431</v>
      </c>
      <c r="B197" s="14"/>
      <c r="C197" s="14"/>
      <c r="D197" s="15" t="str">
        <f>C197&amp;COUNTIF($C$1:C197,C197)</f>
        <v>0</v>
      </c>
      <c r="E197" s="14"/>
      <c r="F197" s="16"/>
      <c r="G197" s="17"/>
      <c r="H197" s="18"/>
      <c r="J197" s="20" t="str">
        <f t="shared" si="8"/>
        <v>0.1.</v>
      </c>
      <c r="K197" s="15" t="str">
        <f t="shared" si="9"/>
        <v>0:00</v>
      </c>
      <c r="L197" s="17"/>
      <c r="M197" s="17"/>
      <c r="N197" s="22"/>
      <c r="O197" s="17"/>
      <c r="P197" s="17"/>
      <c r="Q197" s="17"/>
      <c r="R197" s="24"/>
      <c r="S197" s="23"/>
      <c r="T197" s="15" t="s">
        <v>46</v>
      </c>
      <c r="U197" s="17"/>
      <c r="V197" s="15" t="str">
        <f>IF(ISERROR(VLOOKUP(C197,#REF!,8,0)),"",VLOOKUP(C197,#REF!,8,0))</f>
        <v/>
      </c>
    </row>
    <row r="198" spans="1:22" ht="48.75" customHeight="1" x14ac:dyDescent="0.15">
      <c r="A198" s="13">
        <v>432</v>
      </c>
      <c r="B198" s="14"/>
      <c r="C198" s="14"/>
      <c r="D198" s="15" t="str">
        <f>C198&amp;COUNTIF($C$1:C198,C198)</f>
        <v>0</v>
      </c>
      <c r="E198" s="14"/>
      <c r="F198" s="16"/>
      <c r="G198" s="17"/>
      <c r="H198" s="18"/>
      <c r="J198" s="20" t="str">
        <f t="shared" si="8"/>
        <v>0.1.</v>
      </c>
      <c r="K198" s="15" t="str">
        <f t="shared" si="9"/>
        <v>0:00</v>
      </c>
      <c r="L198" s="17"/>
      <c r="M198" s="17"/>
      <c r="N198" s="22"/>
      <c r="O198" s="17"/>
      <c r="P198" s="17"/>
      <c r="Q198" s="17"/>
      <c r="R198" s="24"/>
      <c r="S198" s="23"/>
      <c r="T198" s="15" t="s">
        <v>46</v>
      </c>
      <c r="U198" s="17"/>
      <c r="V198" s="15" t="str">
        <f>IF(ISERROR(VLOOKUP(C198,#REF!,8,0)),"",VLOOKUP(C198,#REF!,8,0))</f>
        <v/>
      </c>
    </row>
    <row r="199" spans="1:22" ht="48.75" customHeight="1" x14ac:dyDescent="0.15">
      <c r="A199" s="13">
        <v>433</v>
      </c>
      <c r="B199" s="14"/>
      <c r="C199" s="14"/>
      <c r="D199" s="15" t="str">
        <f>C199&amp;COUNTIF($C$1:C199,C199)</f>
        <v>0</v>
      </c>
      <c r="E199" s="14"/>
      <c r="F199" s="16"/>
      <c r="G199" s="17"/>
      <c r="H199" s="18"/>
      <c r="J199" s="20" t="str">
        <f t="shared" si="8"/>
        <v>0.1.</v>
      </c>
      <c r="K199" s="15" t="str">
        <f t="shared" si="9"/>
        <v>0:00</v>
      </c>
      <c r="L199" s="17"/>
      <c r="M199" s="17"/>
      <c r="N199" s="22"/>
      <c r="O199" s="17"/>
      <c r="P199" s="17"/>
      <c r="Q199" s="17"/>
      <c r="R199" s="24"/>
      <c r="S199" s="23"/>
      <c r="T199" s="15" t="s">
        <v>46</v>
      </c>
      <c r="U199" s="17"/>
      <c r="V199" s="15" t="str">
        <f>IF(ISERROR(VLOOKUP(C199,#REF!,8,0)),"",VLOOKUP(C199,#REF!,8,0))</f>
        <v/>
      </c>
    </row>
    <row r="200" spans="1:22" ht="48.75" customHeight="1" x14ac:dyDescent="0.15">
      <c r="A200" s="13">
        <v>434</v>
      </c>
      <c r="B200" s="14"/>
      <c r="C200" s="14"/>
      <c r="D200" s="15" t="str">
        <f>C200&amp;COUNTIF($C$1:C200,C200)</f>
        <v>0</v>
      </c>
      <c r="E200" s="14"/>
      <c r="F200" s="16"/>
      <c r="G200" s="17"/>
      <c r="H200" s="18"/>
      <c r="J200" s="20" t="str">
        <f t="shared" si="8"/>
        <v>0.1.</v>
      </c>
      <c r="K200" s="15" t="str">
        <f t="shared" si="9"/>
        <v>0:00</v>
      </c>
      <c r="L200" s="17"/>
      <c r="M200" s="17"/>
      <c r="N200" s="22"/>
      <c r="O200" s="17"/>
      <c r="P200" s="17"/>
      <c r="Q200" s="17"/>
      <c r="R200" s="24"/>
      <c r="S200" s="23"/>
      <c r="T200" s="15" t="s">
        <v>46</v>
      </c>
      <c r="U200" s="17"/>
      <c r="V200" s="15" t="str">
        <f>IF(ISERROR(VLOOKUP(C200,#REF!,8,0)),"",VLOOKUP(C200,#REF!,8,0))</f>
        <v/>
      </c>
    </row>
    <row r="201" spans="1:22" ht="48.75" customHeight="1" x14ac:dyDescent="0.15">
      <c r="A201" s="13">
        <v>435</v>
      </c>
      <c r="B201" s="14"/>
      <c r="C201" s="14"/>
      <c r="D201" s="15" t="str">
        <f>C201&amp;COUNTIF($C$1:C201,C201)</f>
        <v>0</v>
      </c>
      <c r="E201" s="14"/>
      <c r="F201" s="16"/>
      <c r="G201" s="17"/>
      <c r="H201" s="18"/>
      <c r="J201" s="20" t="str">
        <f t="shared" si="8"/>
        <v>0.1.</v>
      </c>
      <c r="K201" s="15" t="str">
        <f t="shared" si="9"/>
        <v>0:00</v>
      </c>
      <c r="L201" s="17"/>
      <c r="M201" s="17"/>
      <c r="N201" s="22"/>
      <c r="O201" s="17"/>
      <c r="P201" s="17"/>
      <c r="Q201" s="17"/>
      <c r="R201" s="24"/>
      <c r="S201" s="23"/>
      <c r="T201" s="15" t="s">
        <v>46</v>
      </c>
      <c r="U201" s="17"/>
      <c r="V201" s="15" t="str">
        <f>IF(ISERROR(VLOOKUP(C201,#REF!,8,0)),"",VLOOKUP(C201,#REF!,8,0))</f>
        <v/>
      </c>
    </row>
    <row r="202" spans="1:22" ht="48.75" customHeight="1" x14ac:dyDescent="0.15">
      <c r="A202" s="13">
        <v>436</v>
      </c>
      <c r="B202" s="14"/>
      <c r="C202" s="14"/>
      <c r="D202" s="15" t="str">
        <f>C202&amp;COUNTIF($C$1:C202,C202)</f>
        <v>0</v>
      </c>
      <c r="E202" s="14"/>
      <c r="F202" s="16"/>
      <c r="G202" s="17"/>
      <c r="H202" s="18"/>
      <c r="J202" s="20" t="str">
        <f t="shared" si="8"/>
        <v>0.1.</v>
      </c>
      <c r="K202" s="15" t="str">
        <f t="shared" si="9"/>
        <v>0:00</v>
      </c>
      <c r="L202" s="17"/>
      <c r="M202" s="17"/>
      <c r="N202" s="22"/>
      <c r="O202" s="17"/>
      <c r="P202" s="17"/>
      <c r="Q202" s="17"/>
      <c r="R202" s="24"/>
      <c r="S202" s="23"/>
      <c r="T202" s="15" t="s">
        <v>46</v>
      </c>
      <c r="U202" s="17"/>
      <c r="V202" s="15" t="str">
        <f>IF(ISERROR(VLOOKUP(C202,#REF!,8,0)),"",VLOOKUP(C202,#REF!,8,0))</f>
        <v/>
      </c>
    </row>
    <row r="203" spans="1:22" ht="48.75" customHeight="1" x14ac:dyDescent="0.15">
      <c r="A203" s="13">
        <v>437</v>
      </c>
      <c r="B203" s="14"/>
      <c r="C203" s="14"/>
      <c r="D203" s="15" t="str">
        <f>C203&amp;COUNTIF($C$1:C203,C203)</f>
        <v>0</v>
      </c>
      <c r="E203" s="14"/>
      <c r="F203" s="16"/>
      <c r="G203" s="17"/>
      <c r="H203" s="18"/>
      <c r="J203" s="20" t="str">
        <f t="shared" si="8"/>
        <v>0.1.</v>
      </c>
      <c r="K203" s="15" t="str">
        <f t="shared" si="9"/>
        <v>0:00</v>
      </c>
      <c r="L203" s="17"/>
      <c r="M203" s="17"/>
      <c r="N203" s="22"/>
      <c r="O203" s="17"/>
      <c r="P203" s="17"/>
      <c r="Q203" s="17"/>
      <c r="R203" s="24"/>
      <c r="S203" s="23"/>
      <c r="T203" s="15" t="s">
        <v>46</v>
      </c>
      <c r="U203" s="17"/>
      <c r="V203" s="15" t="str">
        <f>IF(ISERROR(VLOOKUP(C203,#REF!,8,0)),"",VLOOKUP(C203,#REF!,8,0))</f>
        <v/>
      </c>
    </row>
    <row r="204" spans="1:22" ht="48.75" customHeight="1" x14ac:dyDescent="0.15">
      <c r="A204" s="13">
        <v>438</v>
      </c>
      <c r="B204" s="14"/>
      <c r="C204" s="14"/>
      <c r="D204" s="15" t="str">
        <f>C204&amp;COUNTIF($C$1:C204,C204)</f>
        <v>0</v>
      </c>
      <c r="E204" s="14"/>
      <c r="F204" s="16"/>
      <c r="G204" s="17"/>
      <c r="H204" s="18"/>
      <c r="J204" s="20" t="str">
        <f t="shared" si="8"/>
        <v>0.1.</v>
      </c>
      <c r="K204" s="15" t="str">
        <f t="shared" si="9"/>
        <v>0:00</v>
      </c>
      <c r="L204" s="17"/>
      <c r="M204" s="17"/>
      <c r="N204" s="22"/>
      <c r="O204" s="17"/>
      <c r="P204" s="17"/>
      <c r="Q204" s="17"/>
      <c r="R204" s="24"/>
      <c r="S204" s="23"/>
      <c r="T204" s="15" t="s">
        <v>46</v>
      </c>
      <c r="U204" s="17"/>
      <c r="V204" s="15" t="str">
        <f>IF(ISERROR(VLOOKUP(C204,#REF!,8,0)),"",VLOOKUP(C204,#REF!,8,0))</f>
        <v/>
      </c>
    </row>
    <row r="205" spans="1:22" ht="48.75" customHeight="1" x14ac:dyDescent="0.15">
      <c r="A205" s="13">
        <v>439</v>
      </c>
      <c r="B205" s="14"/>
      <c r="C205" s="14"/>
      <c r="D205" s="15" t="str">
        <f>C205&amp;COUNTIF($C$1:C205,C205)</f>
        <v>0</v>
      </c>
      <c r="E205" s="14"/>
      <c r="F205" s="16"/>
      <c r="G205" s="17"/>
      <c r="H205" s="18"/>
      <c r="J205" s="20" t="str">
        <f t="shared" si="8"/>
        <v>0.1.</v>
      </c>
      <c r="K205" s="15" t="str">
        <f t="shared" si="9"/>
        <v>0:00</v>
      </c>
      <c r="L205" s="17"/>
      <c r="M205" s="17"/>
      <c r="N205" s="22"/>
      <c r="O205" s="17"/>
      <c r="P205" s="17"/>
      <c r="Q205" s="17"/>
      <c r="R205" s="24"/>
      <c r="S205" s="23"/>
      <c r="T205" s="15" t="s">
        <v>46</v>
      </c>
      <c r="U205" s="17"/>
      <c r="V205" s="15" t="str">
        <f>IF(ISERROR(VLOOKUP(C205,#REF!,8,0)),"",VLOOKUP(C205,#REF!,8,0))</f>
        <v/>
      </c>
    </row>
    <row r="206" spans="1:22" ht="48.75" customHeight="1" x14ac:dyDescent="0.15">
      <c r="A206" s="13">
        <v>440</v>
      </c>
      <c r="B206" s="14"/>
      <c r="C206" s="14"/>
      <c r="D206" s="15" t="str">
        <f>C206&amp;COUNTIF($C$1:C206,C206)</f>
        <v>0</v>
      </c>
      <c r="E206" s="14"/>
      <c r="F206" s="16"/>
      <c r="G206" s="17"/>
      <c r="H206" s="18"/>
      <c r="J206" s="20" t="str">
        <f t="shared" si="8"/>
        <v>0.1.</v>
      </c>
      <c r="K206" s="15" t="str">
        <f t="shared" si="9"/>
        <v>0:00</v>
      </c>
      <c r="L206" s="17"/>
      <c r="M206" s="17"/>
      <c r="N206" s="22"/>
      <c r="O206" s="17"/>
      <c r="P206" s="17"/>
      <c r="Q206" s="17"/>
      <c r="R206" s="24"/>
      <c r="S206" s="23"/>
      <c r="T206" s="15" t="s">
        <v>46</v>
      </c>
      <c r="U206" s="17"/>
      <c r="V206" s="15" t="str">
        <f>IF(ISERROR(VLOOKUP(C206,#REF!,8,0)),"",VLOOKUP(C206,#REF!,8,0))</f>
        <v/>
      </c>
    </row>
    <row r="207" spans="1:22" ht="48.75" customHeight="1" x14ac:dyDescent="0.15">
      <c r="A207" s="13">
        <v>441</v>
      </c>
      <c r="B207" s="14"/>
      <c r="C207" s="14"/>
      <c r="D207" s="15" t="str">
        <f>C207&amp;COUNTIF($C$1:C207,C207)</f>
        <v>0</v>
      </c>
      <c r="E207" s="14"/>
      <c r="F207" s="16"/>
      <c r="G207" s="17"/>
      <c r="H207" s="18"/>
      <c r="J207" s="20" t="str">
        <f t="shared" si="8"/>
        <v>0.1.</v>
      </c>
      <c r="K207" s="15" t="str">
        <f t="shared" si="9"/>
        <v>0:00</v>
      </c>
      <c r="L207" s="17"/>
      <c r="M207" s="17"/>
      <c r="N207" s="22"/>
      <c r="O207" s="17"/>
      <c r="P207" s="17"/>
      <c r="Q207" s="17"/>
      <c r="R207" s="24"/>
      <c r="S207" s="23"/>
      <c r="T207" s="15" t="s">
        <v>46</v>
      </c>
      <c r="U207" s="17"/>
      <c r="V207" s="15" t="str">
        <f>IF(ISERROR(VLOOKUP(C207,#REF!,8,0)),"",VLOOKUP(C207,#REF!,8,0))</f>
        <v/>
      </c>
    </row>
    <row r="208" spans="1:22" ht="48.75" customHeight="1" x14ac:dyDescent="0.15">
      <c r="A208" s="13">
        <v>442</v>
      </c>
      <c r="B208" s="14"/>
      <c r="C208" s="14"/>
      <c r="D208" s="15" t="str">
        <f>C208&amp;COUNTIF($C$1:C208,C208)</f>
        <v>0</v>
      </c>
      <c r="E208" s="14"/>
      <c r="F208" s="16"/>
      <c r="G208" s="17"/>
      <c r="H208" s="18"/>
      <c r="J208" s="20" t="str">
        <f t="shared" si="8"/>
        <v>0.1.</v>
      </c>
      <c r="K208" s="15" t="str">
        <f t="shared" si="9"/>
        <v>0:00</v>
      </c>
      <c r="L208" s="17"/>
      <c r="M208" s="17"/>
      <c r="N208" s="22"/>
      <c r="O208" s="17"/>
      <c r="P208" s="17"/>
      <c r="Q208" s="17"/>
      <c r="R208" s="24"/>
      <c r="S208" s="23"/>
      <c r="T208" s="15" t="s">
        <v>46</v>
      </c>
      <c r="U208" s="17"/>
      <c r="V208" s="15" t="str">
        <f>IF(ISERROR(VLOOKUP(C208,#REF!,8,0)),"",VLOOKUP(C208,#REF!,8,0))</f>
        <v/>
      </c>
    </row>
    <row r="209" spans="1:22" ht="48.75" customHeight="1" x14ac:dyDescent="0.15">
      <c r="A209" s="13">
        <v>443</v>
      </c>
      <c r="B209" s="14"/>
      <c r="C209" s="14"/>
      <c r="D209" s="15" t="str">
        <f>C209&amp;COUNTIF($C$1:C209,C209)</f>
        <v>0</v>
      </c>
      <c r="E209" s="14"/>
      <c r="F209" s="16"/>
      <c r="G209" s="17"/>
      <c r="H209" s="18"/>
      <c r="J209" s="20" t="str">
        <f t="shared" si="8"/>
        <v>0.1.</v>
      </c>
      <c r="K209" s="15" t="str">
        <f t="shared" si="9"/>
        <v>0:00</v>
      </c>
      <c r="L209" s="17"/>
      <c r="M209" s="17"/>
      <c r="N209" s="22"/>
      <c r="O209" s="17"/>
      <c r="P209" s="17"/>
      <c r="Q209" s="17"/>
      <c r="R209" s="24"/>
      <c r="S209" s="23"/>
      <c r="T209" s="15" t="s">
        <v>46</v>
      </c>
      <c r="U209" s="17"/>
      <c r="V209" s="15" t="str">
        <f>IF(ISERROR(VLOOKUP(C209,#REF!,8,0)),"",VLOOKUP(C209,#REF!,8,0))</f>
        <v/>
      </c>
    </row>
    <row r="210" spans="1:22" ht="48.75" customHeight="1" x14ac:dyDescent="0.15">
      <c r="A210" s="13">
        <v>444</v>
      </c>
      <c r="B210" s="14"/>
      <c r="C210" s="14"/>
      <c r="D210" s="15" t="str">
        <f>C210&amp;COUNTIF($C$1:C210,C210)</f>
        <v>0</v>
      </c>
      <c r="E210" s="14"/>
      <c r="F210" s="16"/>
      <c r="G210" s="17"/>
      <c r="H210" s="18"/>
      <c r="J210" s="20" t="str">
        <f t="shared" si="8"/>
        <v>0.1.</v>
      </c>
      <c r="K210" s="15" t="str">
        <f t="shared" si="9"/>
        <v>0:00</v>
      </c>
      <c r="L210" s="17"/>
      <c r="M210" s="17"/>
      <c r="N210" s="22"/>
      <c r="O210" s="17"/>
      <c r="P210" s="17"/>
      <c r="Q210" s="17"/>
      <c r="R210" s="24"/>
      <c r="S210" s="23"/>
      <c r="T210" s="15" t="s">
        <v>46</v>
      </c>
      <c r="U210" s="17"/>
      <c r="V210" s="15" t="str">
        <f>IF(ISERROR(VLOOKUP(C210,#REF!,8,0)),"",VLOOKUP(C210,#REF!,8,0))</f>
        <v/>
      </c>
    </row>
    <row r="211" spans="1:22" ht="48.75" customHeight="1" x14ac:dyDescent="0.15">
      <c r="A211" s="13">
        <v>445</v>
      </c>
      <c r="B211" s="14"/>
      <c r="C211" s="14"/>
      <c r="D211" s="15" t="str">
        <f>C211&amp;COUNTIF($C$1:C211,C211)</f>
        <v>0</v>
      </c>
      <c r="E211" s="14"/>
      <c r="F211" s="16"/>
      <c r="G211" s="17"/>
      <c r="H211" s="18"/>
      <c r="J211" s="20" t="str">
        <f t="shared" si="8"/>
        <v>0.1.</v>
      </c>
      <c r="K211" s="15" t="str">
        <f t="shared" si="9"/>
        <v>0:00</v>
      </c>
      <c r="L211" s="17"/>
      <c r="M211" s="17"/>
      <c r="N211" s="22"/>
      <c r="O211" s="17"/>
      <c r="P211" s="17"/>
      <c r="Q211" s="17"/>
      <c r="R211" s="24"/>
      <c r="S211" s="23"/>
      <c r="T211" s="15" t="s">
        <v>46</v>
      </c>
      <c r="U211" s="17"/>
      <c r="V211" s="15" t="str">
        <f>IF(ISERROR(VLOOKUP(C211,#REF!,8,0)),"",VLOOKUP(C211,#REF!,8,0))</f>
        <v/>
      </c>
    </row>
    <row r="212" spans="1:22" ht="48.75" customHeight="1" x14ac:dyDescent="0.15">
      <c r="A212" s="13">
        <v>446</v>
      </c>
      <c r="B212" s="14"/>
      <c r="C212" s="14"/>
      <c r="D212" s="15" t="str">
        <f>C212&amp;COUNTIF($C$1:C212,C212)</f>
        <v>0</v>
      </c>
      <c r="E212" s="14"/>
      <c r="F212" s="16"/>
      <c r="G212" s="17"/>
      <c r="H212" s="18"/>
      <c r="J212" s="20" t="str">
        <f t="shared" si="8"/>
        <v>0.1.</v>
      </c>
      <c r="K212" s="15" t="str">
        <f t="shared" si="9"/>
        <v>0:00</v>
      </c>
      <c r="L212" s="17"/>
      <c r="M212" s="17"/>
      <c r="N212" s="22"/>
      <c r="O212" s="17"/>
      <c r="P212" s="17"/>
      <c r="Q212" s="17"/>
      <c r="R212" s="24"/>
      <c r="S212" s="23"/>
      <c r="T212" s="15" t="s">
        <v>46</v>
      </c>
      <c r="U212" s="17"/>
      <c r="V212" s="15" t="str">
        <f>IF(ISERROR(VLOOKUP(C212,#REF!,8,0)),"",VLOOKUP(C212,#REF!,8,0))</f>
        <v/>
      </c>
    </row>
    <row r="213" spans="1:22" ht="48.75" customHeight="1" x14ac:dyDescent="0.15">
      <c r="A213" s="13">
        <v>447</v>
      </c>
      <c r="B213" s="14"/>
      <c r="C213" s="14"/>
      <c r="D213" s="15" t="str">
        <f>C213&amp;COUNTIF($C$1:C213,C213)</f>
        <v>0</v>
      </c>
      <c r="E213" s="14"/>
      <c r="F213" s="16"/>
      <c r="G213" s="17"/>
      <c r="H213" s="18"/>
      <c r="J213" s="20" t="str">
        <f t="shared" si="8"/>
        <v>0.1.</v>
      </c>
      <c r="K213" s="15" t="str">
        <f t="shared" si="9"/>
        <v>0:00</v>
      </c>
      <c r="L213" s="17"/>
      <c r="M213" s="17"/>
      <c r="N213" s="22"/>
      <c r="O213" s="17"/>
      <c r="P213" s="17"/>
      <c r="Q213" s="17"/>
      <c r="R213" s="24"/>
      <c r="S213" s="23"/>
      <c r="T213" s="15" t="s">
        <v>46</v>
      </c>
      <c r="U213" s="17"/>
      <c r="V213" s="15" t="str">
        <f>IF(ISERROR(VLOOKUP(C213,#REF!,8,0)),"",VLOOKUP(C213,#REF!,8,0))</f>
        <v/>
      </c>
    </row>
    <row r="214" spans="1:22" ht="48.75" customHeight="1" x14ac:dyDescent="0.15">
      <c r="A214" s="13">
        <v>448</v>
      </c>
      <c r="B214" s="14"/>
      <c r="C214" s="14"/>
      <c r="D214" s="15" t="str">
        <f>C214&amp;COUNTIF($C$1:C214,C214)</f>
        <v>0</v>
      </c>
      <c r="E214" s="14"/>
      <c r="F214" s="16"/>
      <c r="G214" s="17"/>
      <c r="H214" s="18"/>
      <c r="J214" s="20" t="str">
        <f t="shared" si="8"/>
        <v>0.1.</v>
      </c>
      <c r="K214" s="15" t="str">
        <f t="shared" si="9"/>
        <v>0:00</v>
      </c>
      <c r="L214" s="17"/>
      <c r="M214" s="17"/>
      <c r="N214" s="22"/>
      <c r="O214" s="17"/>
      <c r="P214" s="17"/>
      <c r="Q214" s="17"/>
      <c r="R214" s="24"/>
      <c r="S214" s="23"/>
      <c r="T214" s="15" t="s">
        <v>46</v>
      </c>
      <c r="U214" s="17"/>
      <c r="V214" s="15" t="str">
        <f>IF(ISERROR(VLOOKUP(C214,#REF!,8,0)),"",VLOOKUP(C214,#REF!,8,0))</f>
        <v/>
      </c>
    </row>
    <row r="215" spans="1:22" ht="48.75" customHeight="1" x14ac:dyDescent="0.15">
      <c r="A215" s="13">
        <v>449</v>
      </c>
      <c r="B215" s="14"/>
      <c r="C215" s="14"/>
      <c r="D215" s="15" t="str">
        <f>C215&amp;COUNTIF($C$1:C215,C215)</f>
        <v>0</v>
      </c>
      <c r="E215" s="14"/>
      <c r="F215" s="16"/>
      <c r="G215" s="17"/>
      <c r="H215" s="18"/>
      <c r="J215" s="20" t="str">
        <f t="shared" si="8"/>
        <v>0.1.</v>
      </c>
      <c r="K215" s="15" t="str">
        <f t="shared" si="9"/>
        <v>0:00</v>
      </c>
      <c r="L215" s="17"/>
      <c r="M215" s="17"/>
      <c r="N215" s="22"/>
      <c r="O215" s="17"/>
      <c r="P215" s="17"/>
      <c r="Q215" s="17"/>
      <c r="R215" s="24"/>
      <c r="S215" s="23"/>
      <c r="T215" s="15" t="s">
        <v>46</v>
      </c>
      <c r="U215" s="17"/>
      <c r="V215" s="15" t="str">
        <f>IF(ISERROR(VLOOKUP(C215,#REF!,8,0)),"",VLOOKUP(C215,#REF!,8,0))</f>
        <v/>
      </c>
    </row>
    <row r="216" spans="1:22" ht="48.75" customHeight="1" x14ac:dyDescent="0.15">
      <c r="A216" s="13">
        <v>450</v>
      </c>
      <c r="B216" s="14"/>
      <c r="C216" s="14"/>
      <c r="D216" s="15" t="str">
        <f>C216&amp;COUNTIF($C$1:C216,C216)</f>
        <v>0</v>
      </c>
      <c r="E216" s="14"/>
      <c r="F216" s="16"/>
      <c r="G216" s="17"/>
      <c r="H216" s="18"/>
      <c r="J216" s="20" t="str">
        <f t="shared" si="8"/>
        <v>0.1.</v>
      </c>
      <c r="K216" s="15" t="str">
        <f t="shared" si="9"/>
        <v>0:00</v>
      </c>
      <c r="L216" s="17"/>
      <c r="M216" s="17"/>
      <c r="N216" s="22"/>
      <c r="O216" s="17"/>
      <c r="P216" s="17"/>
      <c r="Q216" s="17"/>
      <c r="R216" s="24"/>
      <c r="S216" s="23"/>
      <c r="T216" s="15" t="s">
        <v>46</v>
      </c>
      <c r="U216" s="17"/>
      <c r="V216" s="15" t="str">
        <f>IF(ISERROR(VLOOKUP(C216,#REF!,8,0)),"",VLOOKUP(C216,#REF!,8,0))</f>
        <v/>
      </c>
    </row>
    <row r="217" spans="1:22" ht="48.75" customHeight="1" x14ac:dyDescent="0.15">
      <c r="A217" s="13">
        <v>451</v>
      </c>
      <c r="B217" s="14"/>
      <c r="C217" s="14"/>
      <c r="D217" s="15" t="str">
        <f>C217&amp;COUNTIF($C$1:C217,C217)</f>
        <v>0</v>
      </c>
      <c r="E217" s="14"/>
      <c r="F217" s="16"/>
      <c r="G217" s="17"/>
      <c r="H217" s="18"/>
      <c r="J217" s="20" t="str">
        <f t="shared" si="8"/>
        <v>0.1.</v>
      </c>
      <c r="K217" s="15" t="str">
        <f t="shared" si="9"/>
        <v>0:00</v>
      </c>
      <c r="L217" s="17"/>
      <c r="M217" s="17"/>
      <c r="N217" s="22"/>
      <c r="O217" s="17"/>
      <c r="P217" s="17"/>
      <c r="Q217" s="17"/>
      <c r="R217" s="24"/>
      <c r="S217" s="23"/>
      <c r="T217" s="15" t="s">
        <v>46</v>
      </c>
      <c r="U217" s="17"/>
      <c r="V217" s="15" t="str">
        <f>IF(ISERROR(VLOOKUP(C217,#REF!,8,0)),"",VLOOKUP(C217,#REF!,8,0))</f>
        <v/>
      </c>
    </row>
    <row r="218" spans="1:22" ht="48.75" customHeight="1" x14ac:dyDescent="0.15">
      <c r="A218" s="13">
        <v>452</v>
      </c>
      <c r="B218" s="14"/>
      <c r="C218" s="14"/>
      <c r="D218" s="15" t="str">
        <f>C218&amp;COUNTIF($C$1:C218,C218)</f>
        <v>0</v>
      </c>
      <c r="E218" s="14"/>
      <c r="F218" s="16"/>
      <c r="G218" s="17"/>
      <c r="H218" s="18"/>
      <c r="J218" s="20" t="str">
        <f t="shared" si="8"/>
        <v>0.1.</v>
      </c>
      <c r="K218" s="15" t="str">
        <f t="shared" si="9"/>
        <v>0:00</v>
      </c>
      <c r="L218" s="17"/>
      <c r="M218" s="17"/>
      <c r="N218" s="22"/>
      <c r="O218" s="17"/>
      <c r="P218" s="17"/>
      <c r="Q218" s="17"/>
      <c r="R218" s="24"/>
      <c r="S218" s="23"/>
      <c r="T218" s="15" t="s">
        <v>46</v>
      </c>
      <c r="U218" s="17"/>
      <c r="V218" s="15" t="str">
        <f>IF(ISERROR(VLOOKUP(C218,#REF!,8,0)),"",VLOOKUP(C218,#REF!,8,0))</f>
        <v/>
      </c>
    </row>
    <row r="219" spans="1:22" ht="48.75" customHeight="1" x14ac:dyDescent="0.15">
      <c r="A219" s="13">
        <v>453</v>
      </c>
      <c r="B219" s="14"/>
      <c r="C219" s="14"/>
      <c r="D219" s="15" t="str">
        <f>C219&amp;COUNTIF($C$1:C219,C219)</f>
        <v>0</v>
      </c>
      <c r="E219" s="14"/>
      <c r="F219" s="16"/>
      <c r="G219" s="17"/>
      <c r="H219" s="18"/>
      <c r="J219" s="20" t="str">
        <f t="shared" si="8"/>
        <v>0.1.</v>
      </c>
      <c r="K219" s="15" t="str">
        <f t="shared" si="9"/>
        <v>0:00</v>
      </c>
      <c r="L219" s="17"/>
      <c r="M219" s="17"/>
      <c r="N219" s="22"/>
      <c r="O219" s="17"/>
      <c r="P219" s="17"/>
      <c r="Q219" s="17"/>
      <c r="R219" s="24"/>
      <c r="S219" s="23"/>
      <c r="T219" s="15" t="s">
        <v>46</v>
      </c>
      <c r="U219" s="17"/>
      <c r="V219" s="15" t="str">
        <f>IF(ISERROR(VLOOKUP(C219,#REF!,8,0)),"",VLOOKUP(C219,#REF!,8,0))</f>
        <v/>
      </c>
    </row>
    <row r="220" spans="1:22" ht="48.75" customHeight="1" x14ac:dyDescent="0.15">
      <c r="A220" s="13">
        <v>454</v>
      </c>
      <c r="B220" s="14"/>
      <c r="C220" s="14"/>
      <c r="D220" s="15" t="str">
        <f>C220&amp;COUNTIF($C$1:C220,C220)</f>
        <v>0</v>
      </c>
      <c r="E220" s="14"/>
      <c r="F220" s="16"/>
      <c r="G220" s="17"/>
      <c r="H220" s="18"/>
      <c r="J220" s="20" t="str">
        <f t="shared" si="8"/>
        <v>0.1.</v>
      </c>
      <c r="K220" s="15" t="str">
        <f t="shared" si="9"/>
        <v>0:00</v>
      </c>
      <c r="L220" s="17"/>
      <c r="M220" s="17"/>
      <c r="N220" s="22"/>
      <c r="O220" s="17"/>
      <c r="P220" s="17"/>
      <c r="Q220" s="17"/>
      <c r="R220" s="24"/>
      <c r="S220" s="23"/>
      <c r="T220" s="15" t="s">
        <v>46</v>
      </c>
      <c r="U220" s="17"/>
      <c r="V220" s="15" t="str">
        <f>IF(ISERROR(VLOOKUP(C220,#REF!,8,0)),"",VLOOKUP(C220,#REF!,8,0))</f>
        <v/>
      </c>
    </row>
    <row r="221" spans="1:22" ht="48.75" customHeight="1" x14ac:dyDescent="0.15">
      <c r="A221" s="13">
        <v>455</v>
      </c>
      <c r="B221" s="14"/>
      <c r="C221" s="14"/>
      <c r="D221" s="15" t="str">
        <f>C221&amp;COUNTIF($C$1:C221,C221)</f>
        <v>0</v>
      </c>
      <c r="E221" s="14"/>
      <c r="F221" s="16"/>
      <c r="G221" s="17"/>
      <c r="H221" s="18"/>
      <c r="J221" s="20" t="str">
        <f t="shared" si="8"/>
        <v>0.1.</v>
      </c>
      <c r="K221" s="15" t="str">
        <f t="shared" si="9"/>
        <v>0:00</v>
      </c>
      <c r="L221" s="17"/>
      <c r="M221" s="17"/>
      <c r="N221" s="22"/>
      <c r="O221" s="17"/>
      <c r="P221" s="17"/>
      <c r="Q221" s="17"/>
      <c r="R221" s="24"/>
      <c r="S221" s="23"/>
      <c r="T221" s="15" t="s">
        <v>46</v>
      </c>
      <c r="U221" s="17"/>
      <c r="V221" s="15" t="str">
        <f>IF(ISERROR(VLOOKUP(C221,#REF!,8,0)),"",VLOOKUP(C221,#REF!,8,0))</f>
        <v/>
      </c>
    </row>
    <row r="222" spans="1:22" ht="48.75" customHeight="1" x14ac:dyDescent="0.15">
      <c r="A222" s="13">
        <v>456</v>
      </c>
      <c r="B222" s="14"/>
      <c r="C222" s="14"/>
      <c r="D222" s="15" t="str">
        <f>C222&amp;COUNTIF($C$1:C222,C222)</f>
        <v>0</v>
      </c>
      <c r="E222" s="14"/>
      <c r="F222" s="16"/>
      <c r="G222" s="17"/>
      <c r="H222" s="18"/>
      <c r="J222" s="20" t="str">
        <f t="shared" si="8"/>
        <v>0.1.</v>
      </c>
      <c r="K222" s="15" t="str">
        <f t="shared" si="9"/>
        <v>0:00</v>
      </c>
      <c r="L222" s="17"/>
      <c r="M222" s="17"/>
      <c r="N222" s="22"/>
      <c r="O222" s="17"/>
      <c r="P222" s="17"/>
      <c r="Q222" s="17"/>
      <c r="R222" s="24"/>
      <c r="S222" s="23"/>
      <c r="T222" s="15" t="s">
        <v>46</v>
      </c>
      <c r="U222" s="17"/>
      <c r="V222" s="15" t="str">
        <f>IF(ISERROR(VLOOKUP(C222,#REF!,8,0)),"",VLOOKUP(C222,#REF!,8,0))</f>
        <v/>
      </c>
    </row>
    <row r="223" spans="1:22" ht="48.75" customHeight="1" x14ac:dyDescent="0.15">
      <c r="A223" s="13">
        <v>457</v>
      </c>
      <c r="B223" s="14"/>
      <c r="C223" s="14"/>
      <c r="D223" s="15" t="str">
        <f>C223&amp;COUNTIF($C$1:C223,C223)</f>
        <v>0</v>
      </c>
      <c r="E223" s="14"/>
      <c r="F223" s="16"/>
      <c r="G223" s="17"/>
      <c r="H223" s="18"/>
      <c r="J223" s="20" t="str">
        <f t="shared" si="8"/>
        <v>0.1.</v>
      </c>
      <c r="K223" s="15" t="str">
        <f t="shared" si="9"/>
        <v>0:00</v>
      </c>
      <c r="L223" s="17"/>
      <c r="M223" s="17"/>
      <c r="N223" s="22"/>
      <c r="O223" s="17"/>
      <c r="P223" s="17"/>
      <c r="Q223" s="17"/>
      <c r="R223" s="24"/>
      <c r="S223" s="23"/>
      <c r="T223" s="15" t="s">
        <v>46</v>
      </c>
      <c r="U223" s="17"/>
      <c r="V223" s="15" t="str">
        <f>IF(ISERROR(VLOOKUP(C223,#REF!,8,0)),"",VLOOKUP(C223,#REF!,8,0))</f>
        <v/>
      </c>
    </row>
    <row r="224" spans="1:22" ht="48.75" customHeight="1" x14ac:dyDescent="0.15">
      <c r="A224" s="13">
        <v>458</v>
      </c>
      <c r="B224" s="14"/>
      <c r="C224" s="14"/>
      <c r="D224" s="15" t="str">
        <f>C224&amp;COUNTIF($C$1:C224,C224)</f>
        <v>0</v>
      </c>
      <c r="E224" s="14"/>
      <c r="F224" s="16"/>
      <c r="G224" s="17"/>
      <c r="H224" s="18"/>
      <c r="J224" s="20" t="str">
        <f t="shared" si="8"/>
        <v>0.1.</v>
      </c>
      <c r="K224" s="15" t="str">
        <f t="shared" si="9"/>
        <v>0:00</v>
      </c>
      <c r="L224" s="17"/>
      <c r="M224" s="17"/>
      <c r="N224" s="22"/>
      <c r="O224" s="17"/>
      <c r="P224" s="17"/>
      <c r="Q224" s="17"/>
      <c r="R224" s="24"/>
      <c r="S224" s="23"/>
      <c r="T224" s="15" t="s">
        <v>46</v>
      </c>
      <c r="U224" s="17"/>
      <c r="V224" s="15" t="str">
        <f>IF(ISERROR(VLOOKUP(C224,#REF!,8,0)),"",VLOOKUP(C224,#REF!,8,0))</f>
        <v/>
      </c>
    </row>
    <row r="225" spans="1:22" ht="48.75" customHeight="1" x14ac:dyDescent="0.15">
      <c r="A225" s="13">
        <v>459</v>
      </c>
      <c r="B225" s="14"/>
      <c r="C225" s="14"/>
      <c r="D225" s="15" t="str">
        <f>C225&amp;COUNTIF($C$1:C225,C225)</f>
        <v>0</v>
      </c>
      <c r="E225" s="14"/>
      <c r="F225" s="16"/>
      <c r="G225" s="17"/>
      <c r="H225" s="18"/>
      <c r="J225" s="20" t="str">
        <f t="shared" si="8"/>
        <v>0.1.</v>
      </c>
      <c r="K225" s="15" t="str">
        <f t="shared" si="9"/>
        <v>0:00</v>
      </c>
      <c r="L225" s="17"/>
      <c r="M225" s="17"/>
      <c r="N225" s="22"/>
      <c r="O225" s="17"/>
      <c r="P225" s="17"/>
      <c r="Q225" s="17"/>
      <c r="R225" s="24"/>
      <c r="S225" s="23"/>
      <c r="T225" s="15" t="s">
        <v>46</v>
      </c>
      <c r="U225" s="17"/>
      <c r="V225" s="15" t="str">
        <f>IF(ISERROR(VLOOKUP(C225,#REF!,8,0)),"",VLOOKUP(C225,#REF!,8,0))</f>
        <v/>
      </c>
    </row>
    <row r="226" spans="1:22" ht="48.75" customHeight="1" x14ac:dyDescent="0.15">
      <c r="A226" s="13">
        <v>460</v>
      </c>
      <c r="B226" s="14"/>
      <c r="C226" s="14"/>
      <c r="D226" s="15" t="str">
        <f>C226&amp;COUNTIF($C$1:C226,C226)</f>
        <v>0</v>
      </c>
      <c r="E226" s="14"/>
      <c r="F226" s="16"/>
      <c r="G226" s="17"/>
      <c r="H226" s="18"/>
      <c r="J226" s="20" t="str">
        <f t="shared" si="8"/>
        <v>0.1.</v>
      </c>
      <c r="K226" s="15" t="str">
        <f t="shared" si="9"/>
        <v>0:00</v>
      </c>
      <c r="L226" s="17"/>
      <c r="M226" s="17"/>
      <c r="N226" s="22"/>
      <c r="O226" s="17"/>
      <c r="P226" s="17"/>
      <c r="Q226" s="17"/>
      <c r="R226" s="24"/>
      <c r="S226" s="23"/>
      <c r="T226" s="15" t="s">
        <v>46</v>
      </c>
      <c r="U226" s="17"/>
      <c r="V226" s="15" t="str">
        <f>IF(ISERROR(VLOOKUP(C226,#REF!,8,0)),"",VLOOKUP(C226,#REF!,8,0))</f>
        <v/>
      </c>
    </row>
    <row r="227" spans="1:22" ht="48.75" customHeight="1" x14ac:dyDescent="0.15">
      <c r="A227" s="13">
        <v>461</v>
      </c>
      <c r="B227" s="14"/>
      <c r="C227" s="14"/>
      <c r="D227" s="15" t="str">
        <f>C227&amp;COUNTIF($C$1:C227,C227)</f>
        <v>0</v>
      </c>
      <c r="E227" s="14"/>
      <c r="F227" s="16"/>
      <c r="G227" s="17"/>
      <c r="H227" s="18"/>
      <c r="J227" s="20" t="str">
        <f t="shared" si="8"/>
        <v>0.1.</v>
      </c>
      <c r="K227" s="15" t="str">
        <f t="shared" si="9"/>
        <v>0:00</v>
      </c>
      <c r="L227" s="17"/>
      <c r="M227" s="17"/>
      <c r="N227" s="22"/>
      <c r="O227" s="17"/>
      <c r="P227" s="17"/>
      <c r="Q227" s="17"/>
      <c r="R227" s="24"/>
      <c r="S227" s="23"/>
      <c r="T227" s="15" t="s">
        <v>46</v>
      </c>
      <c r="U227" s="17"/>
      <c r="V227" s="15" t="str">
        <f>IF(ISERROR(VLOOKUP(C227,#REF!,8,0)),"",VLOOKUP(C227,#REF!,8,0))</f>
        <v/>
      </c>
    </row>
    <row r="228" spans="1:22" ht="48.75" customHeight="1" x14ac:dyDescent="0.15">
      <c r="A228" s="13">
        <v>462</v>
      </c>
      <c r="B228" s="14"/>
      <c r="C228" s="14"/>
      <c r="D228" s="15" t="str">
        <f>C228&amp;COUNTIF($C$1:C228,C228)</f>
        <v>0</v>
      </c>
      <c r="E228" s="14"/>
      <c r="F228" s="16"/>
      <c r="G228" s="17"/>
      <c r="H228" s="18"/>
      <c r="J228" s="20" t="str">
        <f t="shared" si="8"/>
        <v>0.1.</v>
      </c>
      <c r="K228" s="15" t="str">
        <f t="shared" si="9"/>
        <v>0:00</v>
      </c>
      <c r="L228" s="17"/>
      <c r="M228" s="17"/>
      <c r="N228" s="22"/>
      <c r="O228" s="17"/>
      <c r="P228" s="17"/>
      <c r="Q228" s="17"/>
      <c r="R228" s="24"/>
      <c r="S228" s="23"/>
      <c r="T228" s="15" t="s">
        <v>46</v>
      </c>
      <c r="U228" s="17"/>
      <c r="V228" s="15" t="str">
        <f>IF(ISERROR(VLOOKUP(C228,#REF!,8,0)),"",VLOOKUP(C228,#REF!,8,0))</f>
        <v/>
      </c>
    </row>
    <row r="229" spans="1:22" ht="48.75" customHeight="1" x14ac:dyDescent="0.15">
      <c r="A229" s="13">
        <v>463</v>
      </c>
      <c r="B229" s="14"/>
      <c r="C229" s="14"/>
      <c r="D229" s="15" t="str">
        <f>C229&amp;COUNTIF($C$1:C229,C229)</f>
        <v>0</v>
      </c>
      <c r="E229" s="14"/>
      <c r="F229" s="16"/>
      <c r="G229" s="17"/>
      <c r="H229" s="18"/>
      <c r="J229" s="20" t="str">
        <f t="shared" si="8"/>
        <v>0.1.</v>
      </c>
      <c r="K229" s="15" t="str">
        <f t="shared" si="9"/>
        <v>0:00</v>
      </c>
      <c r="L229" s="17"/>
      <c r="M229" s="17"/>
      <c r="N229" s="22"/>
      <c r="O229" s="17"/>
      <c r="P229" s="17"/>
      <c r="Q229" s="17"/>
      <c r="R229" s="24"/>
      <c r="S229" s="23"/>
      <c r="T229" s="15" t="s">
        <v>46</v>
      </c>
      <c r="U229" s="17"/>
      <c r="V229" s="15" t="str">
        <f>IF(ISERROR(VLOOKUP(C229,#REF!,8,0)),"",VLOOKUP(C229,#REF!,8,0))</f>
        <v/>
      </c>
    </row>
    <row r="230" spans="1:22" ht="48.75" customHeight="1" x14ac:dyDescent="0.15">
      <c r="A230" s="13">
        <v>464</v>
      </c>
      <c r="B230" s="14"/>
      <c r="C230" s="14"/>
      <c r="D230" s="15" t="str">
        <f>C230&amp;COUNTIF($C$1:C230,C230)</f>
        <v>0</v>
      </c>
      <c r="E230" s="14"/>
      <c r="F230" s="16"/>
      <c r="G230" s="17"/>
      <c r="H230" s="18"/>
      <c r="J230" s="20" t="str">
        <f t="shared" si="8"/>
        <v>0.1.</v>
      </c>
      <c r="K230" s="15" t="str">
        <f t="shared" si="9"/>
        <v>0:00</v>
      </c>
      <c r="L230" s="17"/>
      <c r="M230" s="17"/>
      <c r="N230" s="22"/>
      <c r="O230" s="17"/>
      <c r="P230" s="17"/>
      <c r="Q230" s="17"/>
      <c r="R230" s="24"/>
      <c r="S230" s="23"/>
      <c r="T230" s="15" t="s">
        <v>46</v>
      </c>
      <c r="U230" s="17"/>
      <c r="V230" s="15" t="str">
        <f>IF(ISERROR(VLOOKUP(C230,#REF!,8,0)),"",VLOOKUP(C230,#REF!,8,0))</f>
        <v/>
      </c>
    </row>
    <row r="231" spans="1:22" ht="48.75" customHeight="1" x14ac:dyDescent="0.15">
      <c r="A231" s="13">
        <v>465</v>
      </c>
      <c r="B231" s="14"/>
      <c r="C231" s="14"/>
      <c r="D231" s="15" t="str">
        <f>C231&amp;COUNTIF($C$1:C231,C231)</f>
        <v>0</v>
      </c>
      <c r="E231" s="14"/>
      <c r="F231" s="16"/>
      <c r="G231" s="17"/>
      <c r="H231" s="18"/>
      <c r="J231" s="20" t="str">
        <f t="shared" si="8"/>
        <v>0.1.</v>
      </c>
      <c r="K231" s="15" t="str">
        <f t="shared" si="9"/>
        <v>0:00</v>
      </c>
      <c r="L231" s="17"/>
      <c r="M231" s="17"/>
      <c r="N231" s="22"/>
      <c r="O231" s="17"/>
      <c r="P231" s="17"/>
      <c r="Q231" s="17"/>
      <c r="R231" s="24"/>
      <c r="S231" s="23"/>
      <c r="T231" s="15" t="s">
        <v>46</v>
      </c>
      <c r="U231" s="17"/>
      <c r="V231" s="15" t="str">
        <f>IF(ISERROR(VLOOKUP(C231,#REF!,8,0)),"",VLOOKUP(C231,#REF!,8,0))</f>
        <v/>
      </c>
    </row>
    <row r="232" spans="1:22" ht="48.75" customHeight="1" x14ac:dyDescent="0.15">
      <c r="A232" s="13">
        <v>466</v>
      </c>
      <c r="B232" s="14"/>
      <c r="C232" s="14"/>
      <c r="D232" s="15" t="str">
        <f>C232&amp;COUNTIF($C$1:C232,C232)</f>
        <v>0</v>
      </c>
      <c r="E232" s="14"/>
      <c r="F232" s="16"/>
      <c r="G232" s="17"/>
      <c r="H232" s="18"/>
      <c r="J232" s="20" t="str">
        <f t="shared" si="8"/>
        <v>0.1.</v>
      </c>
      <c r="K232" s="15" t="str">
        <f t="shared" si="9"/>
        <v>0:00</v>
      </c>
      <c r="L232" s="17"/>
      <c r="M232" s="17"/>
      <c r="N232" s="22"/>
      <c r="O232" s="17"/>
      <c r="P232" s="17"/>
      <c r="Q232" s="17"/>
      <c r="R232" s="24"/>
      <c r="S232" s="23"/>
      <c r="T232" s="15" t="s">
        <v>46</v>
      </c>
      <c r="U232" s="17"/>
      <c r="V232" s="15" t="str">
        <f>IF(ISERROR(VLOOKUP(C232,#REF!,8,0)),"",VLOOKUP(C232,#REF!,8,0))</f>
        <v/>
      </c>
    </row>
    <row r="233" spans="1:22" ht="48.75" customHeight="1" x14ac:dyDescent="0.15">
      <c r="A233" s="13">
        <v>467</v>
      </c>
      <c r="B233" s="14"/>
      <c r="C233" s="14"/>
      <c r="D233" s="15" t="str">
        <f>C233&amp;COUNTIF($C$1:C233,C233)</f>
        <v>0</v>
      </c>
      <c r="E233" s="14"/>
      <c r="F233" s="16"/>
      <c r="G233" s="17"/>
      <c r="H233" s="18"/>
      <c r="J233" s="20" t="str">
        <f t="shared" si="8"/>
        <v>0.1.</v>
      </c>
      <c r="K233" s="15" t="str">
        <f t="shared" si="9"/>
        <v>0:00</v>
      </c>
      <c r="L233" s="17"/>
      <c r="M233" s="17"/>
      <c r="N233" s="22"/>
      <c r="O233" s="17"/>
      <c r="P233" s="17"/>
      <c r="Q233" s="17"/>
      <c r="R233" s="24"/>
      <c r="S233" s="23"/>
      <c r="T233" s="15" t="s">
        <v>46</v>
      </c>
      <c r="U233" s="17"/>
      <c r="V233" s="15" t="str">
        <f>IF(ISERROR(VLOOKUP(C233,#REF!,8,0)),"",VLOOKUP(C233,#REF!,8,0))</f>
        <v/>
      </c>
    </row>
    <row r="234" spans="1:22" ht="48.75" customHeight="1" x14ac:dyDescent="0.15">
      <c r="A234" s="13">
        <v>468</v>
      </c>
      <c r="B234" s="14"/>
      <c r="C234" s="14"/>
      <c r="D234" s="15" t="str">
        <f>C234&amp;COUNTIF($C$1:C234,C234)</f>
        <v>0</v>
      </c>
      <c r="E234" s="14"/>
      <c r="F234" s="16"/>
      <c r="G234" s="17"/>
      <c r="H234" s="18"/>
      <c r="J234" s="20" t="str">
        <f t="shared" si="8"/>
        <v>0.1.</v>
      </c>
      <c r="K234" s="15" t="str">
        <f t="shared" si="9"/>
        <v>0:00</v>
      </c>
      <c r="L234" s="17"/>
      <c r="M234" s="17"/>
      <c r="N234" s="22"/>
      <c r="O234" s="17"/>
      <c r="P234" s="17"/>
      <c r="Q234" s="17"/>
      <c r="R234" s="24"/>
      <c r="S234" s="23"/>
      <c r="T234" s="15" t="s">
        <v>46</v>
      </c>
      <c r="U234" s="17"/>
      <c r="V234" s="15" t="str">
        <f>IF(ISERROR(VLOOKUP(C234,#REF!,8,0)),"",VLOOKUP(C234,#REF!,8,0))</f>
        <v/>
      </c>
    </row>
    <row r="235" spans="1:22" ht="48.75" customHeight="1" x14ac:dyDescent="0.15">
      <c r="A235" s="13">
        <v>469</v>
      </c>
      <c r="B235" s="14"/>
      <c r="C235" s="14"/>
      <c r="D235" s="15" t="str">
        <f>C235&amp;COUNTIF($C$1:C235,C235)</f>
        <v>0</v>
      </c>
      <c r="E235" s="14"/>
      <c r="F235" s="16"/>
      <c r="G235" s="17"/>
      <c r="H235" s="18"/>
      <c r="J235" s="20" t="str">
        <f t="shared" si="8"/>
        <v>0.1.</v>
      </c>
      <c r="K235" s="15" t="str">
        <f t="shared" si="9"/>
        <v>0:00</v>
      </c>
      <c r="L235" s="17"/>
      <c r="M235" s="17"/>
      <c r="N235" s="22"/>
      <c r="O235" s="17"/>
      <c r="P235" s="17"/>
      <c r="Q235" s="17"/>
      <c r="R235" s="24"/>
      <c r="S235" s="23"/>
      <c r="T235" s="15" t="s">
        <v>46</v>
      </c>
      <c r="U235" s="17"/>
      <c r="V235" s="15" t="str">
        <f>IF(ISERROR(VLOOKUP(C235,#REF!,8,0)),"",VLOOKUP(C235,#REF!,8,0))</f>
        <v/>
      </c>
    </row>
    <row r="236" spans="1:22" ht="48.75" customHeight="1" x14ac:dyDescent="0.15">
      <c r="A236" s="13">
        <v>470</v>
      </c>
      <c r="B236" s="14"/>
      <c r="C236" s="14"/>
      <c r="D236" s="15" t="str">
        <f>C236&amp;COUNTIF($C$1:C236,C236)</f>
        <v>0</v>
      </c>
      <c r="E236" s="14"/>
      <c r="F236" s="16"/>
      <c r="G236" s="17"/>
      <c r="H236" s="18"/>
      <c r="J236" s="20" t="str">
        <f t="shared" si="8"/>
        <v>0.1.</v>
      </c>
      <c r="K236" s="15" t="str">
        <f t="shared" si="9"/>
        <v>0:00</v>
      </c>
      <c r="L236" s="17"/>
      <c r="M236" s="17"/>
      <c r="N236" s="22"/>
      <c r="O236" s="17"/>
      <c r="P236" s="17"/>
      <c r="Q236" s="17"/>
      <c r="R236" s="24"/>
      <c r="S236" s="23"/>
      <c r="T236" s="15" t="s">
        <v>46</v>
      </c>
      <c r="U236" s="17"/>
      <c r="V236" s="15" t="str">
        <f>IF(ISERROR(VLOOKUP(C236,#REF!,8,0)),"",VLOOKUP(C236,#REF!,8,0))</f>
        <v/>
      </c>
    </row>
    <row r="237" spans="1:22" ht="48.75" customHeight="1" x14ac:dyDescent="0.15">
      <c r="A237" s="13">
        <v>471</v>
      </c>
      <c r="B237" s="14"/>
      <c r="C237" s="14"/>
      <c r="D237" s="15" t="str">
        <f>C237&amp;COUNTIF($C$1:C237,C237)</f>
        <v>0</v>
      </c>
      <c r="E237" s="14"/>
      <c r="F237" s="16"/>
      <c r="G237" s="17"/>
      <c r="H237" s="18"/>
      <c r="J237" s="20" t="str">
        <f t="shared" si="8"/>
        <v>0.1.</v>
      </c>
      <c r="K237" s="15" t="str">
        <f t="shared" si="9"/>
        <v>0:00</v>
      </c>
      <c r="L237" s="17"/>
      <c r="M237" s="17"/>
      <c r="N237" s="22"/>
      <c r="O237" s="17"/>
      <c r="P237" s="17"/>
      <c r="Q237" s="17"/>
      <c r="R237" s="24"/>
      <c r="S237" s="23"/>
      <c r="T237" s="15" t="s">
        <v>46</v>
      </c>
      <c r="U237" s="17"/>
      <c r="V237" s="15" t="str">
        <f>IF(ISERROR(VLOOKUP(C237,#REF!,8,0)),"",VLOOKUP(C237,#REF!,8,0))</f>
        <v/>
      </c>
    </row>
    <row r="238" spans="1:22" ht="48.75" customHeight="1" x14ac:dyDescent="0.15">
      <c r="A238" s="13">
        <v>472</v>
      </c>
      <c r="B238" s="14"/>
      <c r="C238" s="14"/>
      <c r="D238" s="15" t="str">
        <f>C238&amp;COUNTIF($C$1:C238,C238)</f>
        <v>0</v>
      </c>
      <c r="E238" s="14"/>
      <c r="F238" s="16"/>
      <c r="G238" s="17"/>
      <c r="H238" s="18"/>
      <c r="J238" s="20" t="str">
        <f t="shared" si="8"/>
        <v>0.1.</v>
      </c>
      <c r="K238" s="15" t="str">
        <f t="shared" si="9"/>
        <v>0:00</v>
      </c>
      <c r="L238" s="17"/>
      <c r="M238" s="17"/>
      <c r="N238" s="22"/>
      <c r="O238" s="17"/>
      <c r="P238" s="17"/>
      <c r="Q238" s="17"/>
      <c r="R238" s="24"/>
      <c r="S238" s="23"/>
      <c r="T238" s="15" t="s">
        <v>46</v>
      </c>
      <c r="U238" s="17"/>
      <c r="V238" s="15" t="str">
        <f>IF(ISERROR(VLOOKUP(C238,#REF!,8,0)),"",VLOOKUP(C238,#REF!,8,0))</f>
        <v/>
      </c>
    </row>
    <row r="239" spans="1:22" ht="48.75" customHeight="1" x14ac:dyDescent="0.15">
      <c r="A239" s="13">
        <v>473</v>
      </c>
      <c r="B239" s="14"/>
      <c r="C239" s="14"/>
      <c r="D239" s="15" t="str">
        <f>C239&amp;COUNTIF($C$1:C239,C239)</f>
        <v>0</v>
      </c>
      <c r="E239" s="14"/>
      <c r="F239" s="16"/>
      <c r="G239" s="17"/>
      <c r="H239" s="18"/>
      <c r="J239" s="20" t="str">
        <f t="shared" si="8"/>
        <v>0.1.</v>
      </c>
      <c r="K239" s="15" t="str">
        <f t="shared" si="9"/>
        <v>0:00</v>
      </c>
      <c r="L239" s="17"/>
      <c r="M239" s="17"/>
      <c r="N239" s="22"/>
      <c r="O239" s="17"/>
      <c r="P239" s="17"/>
      <c r="Q239" s="17"/>
      <c r="R239" s="24"/>
      <c r="S239" s="23"/>
      <c r="T239" s="15" t="s">
        <v>46</v>
      </c>
      <c r="U239" s="17"/>
      <c r="V239" s="15" t="str">
        <f>IF(ISERROR(VLOOKUP(C239,#REF!,8,0)),"",VLOOKUP(C239,#REF!,8,0))</f>
        <v/>
      </c>
    </row>
    <row r="240" spans="1:22" ht="48.75" customHeight="1" x14ac:dyDescent="0.15">
      <c r="A240" s="13">
        <v>474</v>
      </c>
      <c r="B240" s="14"/>
      <c r="C240" s="14"/>
      <c r="D240" s="15" t="str">
        <f>C240&amp;COUNTIF($C$1:C240,C240)</f>
        <v>0</v>
      </c>
      <c r="E240" s="14"/>
      <c r="F240" s="16"/>
      <c r="G240" s="17"/>
      <c r="H240" s="18"/>
      <c r="J240" s="20" t="str">
        <f t="shared" si="8"/>
        <v>0.1.</v>
      </c>
      <c r="K240" s="15" t="str">
        <f t="shared" si="9"/>
        <v>0:00</v>
      </c>
      <c r="L240" s="17"/>
      <c r="M240" s="17"/>
      <c r="N240" s="22"/>
      <c r="O240" s="17"/>
      <c r="P240" s="17"/>
      <c r="Q240" s="17"/>
      <c r="R240" s="24"/>
      <c r="S240" s="23"/>
      <c r="T240" s="15" t="s">
        <v>46</v>
      </c>
      <c r="U240" s="17"/>
      <c r="V240" s="15" t="str">
        <f>IF(ISERROR(VLOOKUP(C240,#REF!,8,0)),"",VLOOKUP(C240,#REF!,8,0))</f>
        <v/>
      </c>
    </row>
    <row r="241" spans="1:22" ht="48.75" customHeight="1" x14ac:dyDescent="0.15">
      <c r="A241" s="13">
        <v>475</v>
      </c>
      <c r="B241" s="14"/>
      <c r="C241" s="14"/>
      <c r="D241" s="15" t="str">
        <f>C241&amp;COUNTIF($C$1:C241,C241)</f>
        <v>0</v>
      </c>
      <c r="E241" s="14"/>
      <c r="F241" s="16"/>
      <c r="G241" s="17"/>
      <c r="H241" s="18"/>
      <c r="J241" s="20" t="str">
        <f t="shared" si="8"/>
        <v>0.1.</v>
      </c>
      <c r="K241" s="15" t="str">
        <f t="shared" si="9"/>
        <v>0:00</v>
      </c>
      <c r="L241" s="17"/>
      <c r="M241" s="17"/>
      <c r="N241" s="22"/>
      <c r="O241" s="17"/>
      <c r="P241" s="17"/>
      <c r="Q241" s="17"/>
      <c r="R241" s="24"/>
      <c r="S241" s="23"/>
      <c r="T241" s="15" t="s">
        <v>46</v>
      </c>
      <c r="U241" s="17"/>
      <c r="V241" s="15" t="str">
        <f>IF(ISERROR(VLOOKUP(C241,#REF!,8,0)),"",VLOOKUP(C241,#REF!,8,0))</f>
        <v/>
      </c>
    </row>
    <row r="242" spans="1:22" ht="48.75" customHeight="1" x14ac:dyDescent="0.15">
      <c r="A242" s="13">
        <v>476</v>
      </c>
      <c r="B242" s="14"/>
      <c r="C242" s="14"/>
      <c r="D242" s="15" t="str">
        <f>C242&amp;COUNTIF($C$1:C242,C242)</f>
        <v>0</v>
      </c>
      <c r="E242" s="14"/>
      <c r="F242" s="16"/>
      <c r="G242" s="17"/>
      <c r="H242" s="18"/>
      <c r="J242" s="20" t="str">
        <f t="shared" si="8"/>
        <v>0.1.</v>
      </c>
      <c r="K242" s="15" t="str">
        <f t="shared" si="9"/>
        <v>0:00</v>
      </c>
      <c r="L242" s="17"/>
      <c r="M242" s="17"/>
      <c r="N242" s="22"/>
      <c r="O242" s="17"/>
      <c r="P242" s="17"/>
      <c r="Q242" s="17"/>
      <c r="R242" s="24"/>
      <c r="S242" s="23"/>
      <c r="T242" s="15" t="s">
        <v>46</v>
      </c>
      <c r="U242" s="17"/>
      <c r="V242" s="15" t="str">
        <f>IF(ISERROR(VLOOKUP(C242,#REF!,8,0)),"",VLOOKUP(C242,#REF!,8,0))</f>
        <v/>
      </c>
    </row>
    <row r="243" spans="1:22" ht="48.75" customHeight="1" x14ac:dyDescent="0.15">
      <c r="A243" s="13">
        <v>477</v>
      </c>
      <c r="B243" s="14"/>
      <c r="C243" s="14"/>
      <c r="D243" s="15" t="str">
        <f>C243&amp;COUNTIF($C$1:C243,C243)</f>
        <v>0</v>
      </c>
      <c r="E243" s="14"/>
      <c r="F243" s="16"/>
      <c r="G243" s="17"/>
      <c r="H243" s="18"/>
      <c r="J243" s="20" t="str">
        <f t="shared" si="8"/>
        <v>0.1.</v>
      </c>
      <c r="K243" s="15" t="str">
        <f t="shared" si="9"/>
        <v>0:00</v>
      </c>
      <c r="L243" s="17"/>
      <c r="M243" s="17"/>
      <c r="N243" s="22"/>
      <c r="O243" s="17"/>
      <c r="P243" s="17"/>
      <c r="Q243" s="17"/>
      <c r="R243" s="24"/>
      <c r="S243" s="23"/>
      <c r="T243" s="15" t="s">
        <v>46</v>
      </c>
      <c r="U243" s="17"/>
      <c r="V243" s="15" t="str">
        <f>IF(ISERROR(VLOOKUP(C243,#REF!,8,0)),"",VLOOKUP(C243,#REF!,8,0))</f>
        <v/>
      </c>
    </row>
    <row r="244" spans="1:22" ht="48.75" customHeight="1" x14ac:dyDescent="0.15">
      <c r="A244" s="13">
        <v>478</v>
      </c>
      <c r="B244" s="14"/>
      <c r="C244" s="14"/>
      <c r="D244" s="15" t="str">
        <f>C244&amp;COUNTIF($C$1:C244,C244)</f>
        <v>0</v>
      </c>
      <c r="E244" s="14"/>
      <c r="F244" s="16"/>
      <c r="G244" s="17"/>
      <c r="H244" s="18"/>
      <c r="J244" s="20" t="str">
        <f t="shared" si="8"/>
        <v>0.1.</v>
      </c>
      <c r="K244" s="15" t="str">
        <f t="shared" si="9"/>
        <v>0:00</v>
      </c>
      <c r="L244" s="17"/>
      <c r="M244" s="17"/>
      <c r="N244" s="22"/>
      <c r="O244" s="17"/>
      <c r="P244" s="17"/>
      <c r="Q244" s="17"/>
      <c r="R244" s="24"/>
      <c r="S244" s="23"/>
      <c r="T244" s="15" t="s">
        <v>46</v>
      </c>
      <c r="U244" s="17"/>
      <c r="V244" s="15" t="str">
        <f>IF(ISERROR(VLOOKUP(C244,#REF!,8,0)),"",VLOOKUP(C244,#REF!,8,0))</f>
        <v/>
      </c>
    </row>
    <row r="245" spans="1:22" ht="48.75" customHeight="1" x14ac:dyDescent="0.15">
      <c r="A245" s="13">
        <v>479</v>
      </c>
      <c r="B245" s="14"/>
      <c r="C245" s="14"/>
      <c r="D245" s="15" t="str">
        <f>C245&amp;COUNTIF($C$1:C245,C245)</f>
        <v>0</v>
      </c>
      <c r="E245" s="14"/>
      <c r="F245" s="16"/>
      <c r="G245" s="17"/>
      <c r="H245" s="18"/>
      <c r="J245" s="20" t="str">
        <f t="shared" si="8"/>
        <v>0.1.</v>
      </c>
      <c r="K245" s="15" t="str">
        <f t="shared" si="9"/>
        <v>0:00</v>
      </c>
      <c r="L245" s="17"/>
      <c r="M245" s="17"/>
      <c r="N245" s="22"/>
      <c r="O245" s="17"/>
      <c r="P245" s="17"/>
      <c r="Q245" s="17"/>
      <c r="R245" s="24"/>
      <c r="S245" s="23"/>
      <c r="T245" s="15" t="s">
        <v>46</v>
      </c>
      <c r="U245" s="17"/>
      <c r="V245" s="15" t="str">
        <f>IF(ISERROR(VLOOKUP(C245,#REF!,8,0)),"",VLOOKUP(C245,#REF!,8,0))</f>
        <v/>
      </c>
    </row>
    <row r="246" spans="1:22" ht="48.75" customHeight="1" x14ac:dyDescent="0.15">
      <c r="A246" s="13">
        <v>480</v>
      </c>
      <c r="B246" s="14"/>
      <c r="C246" s="14"/>
      <c r="D246" s="15" t="str">
        <f>C246&amp;COUNTIF($C$1:C246,C246)</f>
        <v>0</v>
      </c>
      <c r="E246" s="14"/>
      <c r="F246" s="16"/>
      <c r="G246" s="17"/>
      <c r="H246" s="18"/>
      <c r="J246" s="20" t="str">
        <f t="shared" si="8"/>
        <v>0.1.</v>
      </c>
      <c r="K246" s="15" t="str">
        <f t="shared" si="9"/>
        <v>0:00</v>
      </c>
      <c r="L246" s="17"/>
      <c r="M246" s="17"/>
      <c r="N246" s="22"/>
      <c r="O246" s="17"/>
      <c r="P246" s="17"/>
      <c r="Q246" s="17"/>
      <c r="R246" s="24"/>
      <c r="S246" s="23"/>
      <c r="T246" s="15" t="s">
        <v>46</v>
      </c>
      <c r="U246" s="17"/>
      <c r="V246" s="15" t="str">
        <f>IF(ISERROR(VLOOKUP(C246,#REF!,8,0)),"",VLOOKUP(C246,#REF!,8,0))</f>
        <v/>
      </c>
    </row>
    <row r="247" spans="1:22" ht="48.75" customHeight="1" x14ac:dyDescent="0.15">
      <c r="A247" s="13">
        <v>481</v>
      </c>
      <c r="B247" s="14"/>
      <c r="C247" s="14"/>
      <c r="D247" s="15" t="str">
        <f>C247&amp;COUNTIF($C$1:C247,C247)</f>
        <v>0</v>
      </c>
      <c r="E247" s="14"/>
      <c r="F247" s="16"/>
      <c r="G247" s="17"/>
      <c r="H247" s="18"/>
      <c r="J247" s="20" t="str">
        <f t="shared" si="8"/>
        <v>0.1.</v>
      </c>
      <c r="K247" s="15" t="str">
        <f t="shared" si="9"/>
        <v>0:00</v>
      </c>
      <c r="L247" s="17"/>
      <c r="M247" s="17"/>
      <c r="N247" s="22"/>
      <c r="O247" s="17"/>
      <c r="P247" s="17"/>
      <c r="Q247" s="17"/>
      <c r="R247" s="24"/>
      <c r="S247" s="23"/>
      <c r="T247" s="15" t="s">
        <v>46</v>
      </c>
      <c r="U247" s="17"/>
      <c r="V247" s="15" t="str">
        <f>IF(ISERROR(VLOOKUP(C247,#REF!,8,0)),"",VLOOKUP(C247,#REF!,8,0))</f>
        <v/>
      </c>
    </row>
    <row r="248" spans="1:22" ht="48.75" customHeight="1" x14ac:dyDescent="0.15">
      <c r="A248" s="13">
        <v>482</v>
      </c>
      <c r="B248" s="14"/>
      <c r="C248" s="14"/>
      <c r="D248" s="15" t="str">
        <f>C248&amp;COUNTIF($C$1:C248,C248)</f>
        <v>0</v>
      </c>
      <c r="E248" s="14"/>
      <c r="F248" s="16"/>
      <c r="G248" s="17"/>
      <c r="H248" s="18"/>
      <c r="J248" s="20" t="str">
        <f t="shared" si="8"/>
        <v>0.1.</v>
      </c>
      <c r="K248" s="15" t="str">
        <f t="shared" si="9"/>
        <v>0:00</v>
      </c>
      <c r="L248" s="17"/>
      <c r="M248" s="17"/>
      <c r="N248" s="22"/>
      <c r="O248" s="17"/>
      <c r="P248" s="17"/>
      <c r="Q248" s="17"/>
      <c r="R248" s="24"/>
      <c r="S248" s="23"/>
      <c r="T248" s="15" t="s">
        <v>46</v>
      </c>
      <c r="U248" s="17"/>
      <c r="V248" s="15" t="str">
        <f>IF(ISERROR(VLOOKUP(C248,#REF!,8,0)),"",VLOOKUP(C248,#REF!,8,0))</f>
        <v/>
      </c>
    </row>
    <row r="249" spans="1:22" ht="48.75" customHeight="1" x14ac:dyDescent="0.15">
      <c r="A249" s="13">
        <v>483</v>
      </c>
      <c r="B249" s="14"/>
      <c r="C249" s="14"/>
      <c r="D249" s="15" t="str">
        <f>C249&amp;COUNTIF($C$1:C249,C249)</f>
        <v>0</v>
      </c>
      <c r="E249" s="14"/>
      <c r="F249" s="16"/>
      <c r="G249" s="17"/>
      <c r="H249" s="18"/>
      <c r="J249" s="20" t="str">
        <f t="shared" si="8"/>
        <v>0.1.</v>
      </c>
      <c r="K249" s="15" t="str">
        <f t="shared" si="9"/>
        <v>0:00</v>
      </c>
      <c r="L249" s="17"/>
      <c r="M249" s="17"/>
      <c r="N249" s="22"/>
      <c r="O249" s="17"/>
      <c r="P249" s="17"/>
      <c r="Q249" s="17"/>
      <c r="R249" s="24"/>
      <c r="S249" s="23"/>
      <c r="T249" s="15" t="s">
        <v>46</v>
      </c>
      <c r="U249" s="17"/>
      <c r="V249" s="15" t="str">
        <f>IF(ISERROR(VLOOKUP(C249,#REF!,8,0)),"",VLOOKUP(C249,#REF!,8,0))</f>
        <v/>
      </c>
    </row>
    <row r="250" spans="1:22" ht="48.75" customHeight="1" x14ac:dyDescent="0.15">
      <c r="A250" s="13">
        <v>484</v>
      </c>
      <c r="B250" s="14"/>
      <c r="C250" s="14"/>
      <c r="D250" s="15" t="str">
        <f>C250&amp;COUNTIF($C$1:C250,C250)</f>
        <v>0</v>
      </c>
      <c r="E250" s="14"/>
      <c r="F250" s="16"/>
      <c r="G250" s="17"/>
      <c r="H250" s="18"/>
      <c r="J250" s="20" t="str">
        <f t="shared" si="8"/>
        <v>0.1.</v>
      </c>
      <c r="K250" s="15" t="str">
        <f t="shared" si="9"/>
        <v>0:00</v>
      </c>
      <c r="L250" s="17"/>
      <c r="M250" s="17"/>
      <c r="N250" s="22"/>
      <c r="O250" s="17"/>
      <c r="P250" s="17"/>
      <c r="Q250" s="17"/>
      <c r="R250" s="24"/>
      <c r="S250" s="23"/>
      <c r="T250" s="15" t="s">
        <v>46</v>
      </c>
      <c r="U250" s="17"/>
      <c r="V250" s="15" t="str">
        <f>IF(ISERROR(VLOOKUP(C250,#REF!,8,0)),"",VLOOKUP(C250,#REF!,8,0))</f>
        <v/>
      </c>
    </row>
    <row r="251" spans="1:22" ht="48.75" customHeight="1" x14ac:dyDescent="0.15">
      <c r="A251" s="13">
        <v>485</v>
      </c>
      <c r="B251" s="14"/>
      <c r="C251" s="14"/>
      <c r="D251" s="15" t="str">
        <f>C251&amp;COUNTIF($C$1:C251,C251)</f>
        <v>0</v>
      </c>
      <c r="E251" s="14"/>
      <c r="F251" s="16"/>
      <c r="G251" s="17"/>
      <c r="H251" s="18"/>
      <c r="J251" s="20" t="str">
        <f t="shared" si="8"/>
        <v>0.1.</v>
      </c>
      <c r="K251" s="15" t="str">
        <f t="shared" si="9"/>
        <v>0:00</v>
      </c>
      <c r="L251" s="17"/>
      <c r="M251" s="17"/>
      <c r="N251" s="22"/>
      <c r="O251" s="17"/>
      <c r="P251" s="17"/>
      <c r="Q251" s="17"/>
      <c r="R251" s="24"/>
      <c r="S251" s="23"/>
      <c r="T251" s="15" t="s">
        <v>46</v>
      </c>
      <c r="U251" s="17"/>
      <c r="V251" s="15" t="str">
        <f>IF(ISERROR(VLOOKUP(C251,#REF!,8,0)),"",VLOOKUP(C251,#REF!,8,0))</f>
        <v/>
      </c>
    </row>
    <row r="252" spans="1:22" ht="48.75" customHeight="1" x14ac:dyDescent="0.15">
      <c r="A252" s="13">
        <v>486</v>
      </c>
      <c r="B252" s="14"/>
      <c r="C252" s="14"/>
      <c r="D252" s="15" t="str">
        <f>C252&amp;COUNTIF($C$1:C252,C252)</f>
        <v>0</v>
      </c>
      <c r="E252" s="14"/>
      <c r="F252" s="16"/>
      <c r="G252" s="17"/>
      <c r="H252" s="18"/>
      <c r="J252" s="20" t="str">
        <f t="shared" si="8"/>
        <v>0.1.</v>
      </c>
      <c r="K252" s="15" t="str">
        <f t="shared" si="9"/>
        <v>0:00</v>
      </c>
      <c r="L252" s="17"/>
      <c r="M252" s="17"/>
      <c r="N252" s="22"/>
      <c r="O252" s="17"/>
      <c r="P252" s="17"/>
      <c r="Q252" s="17"/>
      <c r="R252" s="24"/>
      <c r="S252" s="23"/>
      <c r="T252" s="15" t="s">
        <v>46</v>
      </c>
      <c r="U252" s="17"/>
      <c r="V252" s="15" t="str">
        <f>IF(ISERROR(VLOOKUP(C252,#REF!,8,0)),"",VLOOKUP(C252,#REF!,8,0))</f>
        <v/>
      </c>
    </row>
    <row r="253" spans="1:22" ht="48.75" customHeight="1" x14ac:dyDescent="0.15">
      <c r="A253" s="13">
        <v>487</v>
      </c>
      <c r="B253" s="14"/>
      <c r="C253" s="14"/>
      <c r="D253" s="15" t="str">
        <f>C253&amp;COUNTIF($C$1:C253,C253)</f>
        <v>0</v>
      </c>
      <c r="E253" s="14"/>
      <c r="F253" s="16"/>
      <c r="G253" s="17"/>
      <c r="H253" s="18"/>
      <c r="J253" s="20" t="str">
        <f t="shared" si="8"/>
        <v>0.1.</v>
      </c>
      <c r="K253" s="15" t="str">
        <f t="shared" si="9"/>
        <v>0:00</v>
      </c>
      <c r="L253" s="17"/>
      <c r="M253" s="17"/>
      <c r="N253" s="22"/>
      <c r="O253" s="17"/>
      <c r="P253" s="17"/>
      <c r="Q253" s="17"/>
      <c r="R253" s="24"/>
      <c r="S253" s="23"/>
      <c r="T253" s="15" t="s">
        <v>46</v>
      </c>
      <c r="U253" s="17"/>
      <c r="V253" s="15" t="str">
        <f>IF(ISERROR(VLOOKUP(C253,#REF!,8,0)),"",VLOOKUP(C253,#REF!,8,0))</f>
        <v/>
      </c>
    </row>
    <row r="254" spans="1:22" ht="48.75" customHeight="1" x14ac:dyDescent="0.15">
      <c r="A254" s="13">
        <v>488</v>
      </c>
      <c r="B254" s="14"/>
      <c r="C254" s="14"/>
      <c r="D254" s="15" t="str">
        <f>C254&amp;COUNTIF($C$1:C254,C254)</f>
        <v>0</v>
      </c>
      <c r="E254" s="14"/>
      <c r="F254" s="16"/>
      <c r="G254" s="17"/>
      <c r="H254" s="18"/>
      <c r="J254" s="20" t="str">
        <f t="shared" si="8"/>
        <v>0.1.</v>
      </c>
      <c r="K254" s="15" t="str">
        <f t="shared" si="9"/>
        <v>0:00</v>
      </c>
      <c r="L254" s="17"/>
      <c r="M254" s="17"/>
      <c r="N254" s="22"/>
      <c r="O254" s="17"/>
      <c r="P254" s="17"/>
      <c r="Q254" s="17"/>
      <c r="R254" s="24"/>
      <c r="S254" s="23"/>
      <c r="T254" s="15" t="s">
        <v>46</v>
      </c>
      <c r="U254" s="17"/>
      <c r="V254" s="15" t="str">
        <f>IF(ISERROR(VLOOKUP(C254,#REF!,8,0)),"",VLOOKUP(C254,#REF!,8,0))</f>
        <v/>
      </c>
    </row>
    <row r="255" spans="1:22" ht="48.75" customHeight="1" x14ac:dyDescent="0.15">
      <c r="A255" s="13">
        <v>489</v>
      </c>
      <c r="B255" s="14"/>
      <c r="C255" s="14"/>
      <c r="D255" s="15" t="str">
        <f>C255&amp;COUNTIF($C$1:C255,C255)</f>
        <v>0</v>
      </c>
      <c r="E255" s="14"/>
      <c r="F255" s="16"/>
      <c r="G255" s="17"/>
      <c r="H255" s="18"/>
      <c r="J255" s="20" t="str">
        <f t="shared" si="8"/>
        <v>0.1.</v>
      </c>
      <c r="K255" s="15" t="str">
        <f t="shared" si="9"/>
        <v>0:00</v>
      </c>
      <c r="L255" s="17"/>
      <c r="M255" s="17"/>
      <c r="N255" s="22"/>
      <c r="O255" s="17"/>
      <c r="P255" s="17"/>
      <c r="Q255" s="17"/>
      <c r="R255" s="24"/>
      <c r="S255" s="23"/>
      <c r="T255" s="15" t="s">
        <v>46</v>
      </c>
      <c r="U255" s="17"/>
      <c r="V255" s="15" t="str">
        <f>IF(ISERROR(VLOOKUP(C255,#REF!,8,0)),"",VLOOKUP(C255,#REF!,8,0))</f>
        <v/>
      </c>
    </row>
    <row r="256" spans="1:22" ht="48.75" customHeight="1" x14ac:dyDescent="0.15">
      <c r="A256" s="13">
        <v>490</v>
      </c>
      <c r="B256" s="14"/>
      <c r="C256" s="14"/>
      <c r="D256" s="15" t="str">
        <f>C256&amp;COUNTIF($C$1:C256,C256)</f>
        <v>0</v>
      </c>
      <c r="E256" s="14"/>
      <c r="F256" s="16"/>
      <c r="G256" s="17"/>
      <c r="H256" s="18"/>
      <c r="J256" s="20" t="str">
        <f t="shared" si="8"/>
        <v>0.1.</v>
      </c>
      <c r="K256" s="15" t="str">
        <f t="shared" si="9"/>
        <v>0:00</v>
      </c>
      <c r="L256" s="17"/>
      <c r="M256" s="17"/>
      <c r="N256" s="22"/>
      <c r="O256" s="17"/>
      <c r="P256" s="17"/>
      <c r="Q256" s="17"/>
      <c r="R256" s="24"/>
      <c r="S256" s="23"/>
      <c r="T256" s="15" t="s">
        <v>46</v>
      </c>
      <c r="U256" s="17"/>
      <c r="V256" s="15" t="str">
        <f>IF(ISERROR(VLOOKUP(C256,#REF!,8,0)),"",VLOOKUP(C256,#REF!,8,0))</f>
        <v/>
      </c>
    </row>
    <row r="257" spans="1:22" ht="48.75" customHeight="1" x14ac:dyDescent="0.15">
      <c r="A257" s="13">
        <v>491</v>
      </c>
      <c r="B257" s="14"/>
      <c r="C257" s="14"/>
      <c r="D257" s="15" t="str">
        <f>C257&amp;COUNTIF($C$1:C257,C257)</f>
        <v>0</v>
      </c>
      <c r="E257" s="14"/>
      <c r="F257" s="16"/>
      <c r="G257" s="17"/>
      <c r="H257" s="18"/>
      <c r="J257" s="20" t="str">
        <f t="shared" si="8"/>
        <v>0.1.</v>
      </c>
      <c r="K257" s="15" t="str">
        <f t="shared" si="9"/>
        <v>0:00</v>
      </c>
      <c r="L257" s="17"/>
      <c r="M257" s="17"/>
      <c r="N257" s="22"/>
      <c r="O257" s="17"/>
      <c r="P257" s="17"/>
      <c r="Q257" s="17"/>
      <c r="R257" s="24"/>
      <c r="S257" s="23"/>
      <c r="T257" s="15" t="s">
        <v>46</v>
      </c>
      <c r="U257" s="17"/>
      <c r="V257" s="15" t="str">
        <f>IF(ISERROR(VLOOKUP(C257,#REF!,8,0)),"",VLOOKUP(C257,#REF!,8,0))</f>
        <v/>
      </c>
    </row>
    <row r="258" spans="1:22" ht="48.75" customHeight="1" x14ac:dyDescent="0.15">
      <c r="A258" s="13">
        <v>492</v>
      </c>
      <c r="B258" s="14"/>
      <c r="C258" s="14"/>
      <c r="D258" s="15" t="str">
        <f>C258&amp;COUNTIF($C$1:C258,C258)</f>
        <v>0</v>
      </c>
      <c r="E258" s="14"/>
      <c r="F258" s="16"/>
      <c r="G258" s="17"/>
      <c r="H258" s="18"/>
      <c r="J258" s="20" t="str">
        <f t="shared" ref="J258:J321" si="10">IF(ISERROR(DAY(H258)),H258,DAY(H258)&amp;"."&amp;MONTH(H258)&amp;".")</f>
        <v>0.1.</v>
      </c>
      <c r="K258" s="15" t="str">
        <f t="shared" ref="K258:K321" si="11">IF(ISERROR(HOUR(I258)&amp;":"&amp;IF(MINUTE(I258)=0,"00",MINUTE(I258))),I258,HOUR(I258)&amp;":"&amp;IF(MINUTE(I258)=0,"00",IF(MINUTE(I258)&lt;10,"0"&amp;MINUTE(I258),MINUTE(I258))))</f>
        <v>0:00</v>
      </c>
      <c r="L258" s="17"/>
      <c r="M258" s="17"/>
      <c r="N258" s="22"/>
      <c r="O258" s="17"/>
      <c r="P258" s="17"/>
      <c r="Q258" s="17"/>
      <c r="R258" s="24"/>
      <c r="S258" s="23"/>
      <c r="T258" s="15" t="s">
        <v>46</v>
      </c>
      <c r="U258" s="17"/>
      <c r="V258" s="15" t="str">
        <f>IF(ISERROR(VLOOKUP(C258,#REF!,8,0)),"",VLOOKUP(C258,#REF!,8,0))</f>
        <v/>
      </c>
    </row>
    <row r="259" spans="1:22" ht="48.75" customHeight="1" x14ac:dyDescent="0.15">
      <c r="A259" s="13">
        <v>493</v>
      </c>
      <c r="B259" s="14"/>
      <c r="C259" s="14"/>
      <c r="D259" s="15" t="str">
        <f>C259&amp;COUNTIF($C$1:C259,C259)</f>
        <v>0</v>
      </c>
      <c r="E259" s="14"/>
      <c r="F259" s="16"/>
      <c r="G259" s="17"/>
      <c r="H259" s="18"/>
      <c r="J259" s="20" t="str">
        <f t="shared" si="10"/>
        <v>0.1.</v>
      </c>
      <c r="K259" s="15" t="str">
        <f t="shared" si="11"/>
        <v>0:00</v>
      </c>
      <c r="L259" s="17"/>
      <c r="M259" s="17"/>
      <c r="N259" s="22"/>
      <c r="O259" s="17"/>
      <c r="P259" s="17"/>
      <c r="Q259" s="17"/>
      <c r="R259" s="24"/>
      <c r="S259" s="23"/>
      <c r="T259" s="15" t="s">
        <v>46</v>
      </c>
      <c r="U259" s="17"/>
      <c r="V259" s="15" t="str">
        <f>IF(ISERROR(VLOOKUP(C259,#REF!,8,0)),"",VLOOKUP(C259,#REF!,8,0))</f>
        <v/>
      </c>
    </row>
    <row r="260" spans="1:22" ht="48.75" customHeight="1" x14ac:dyDescent="0.15">
      <c r="A260" s="13">
        <v>494</v>
      </c>
      <c r="B260" s="14"/>
      <c r="C260" s="14"/>
      <c r="D260" s="15" t="str">
        <f>C260&amp;COUNTIF($C$1:C260,C260)</f>
        <v>0</v>
      </c>
      <c r="E260" s="14"/>
      <c r="F260" s="16"/>
      <c r="G260" s="17"/>
      <c r="H260" s="18"/>
      <c r="J260" s="20" t="str">
        <f t="shared" si="10"/>
        <v>0.1.</v>
      </c>
      <c r="K260" s="15" t="str">
        <f t="shared" si="11"/>
        <v>0:00</v>
      </c>
      <c r="L260" s="17"/>
      <c r="M260" s="17"/>
      <c r="N260" s="22"/>
      <c r="O260" s="17"/>
      <c r="P260" s="17"/>
      <c r="Q260" s="17"/>
      <c r="R260" s="24"/>
      <c r="S260" s="23"/>
      <c r="T260" s="15" t="s">
        <v>46</v>
      </c>
      <c r="U260" s="17"/>
      <c r="V260" s="15" t="str">
        <f>IF(ISERROR(VLOOKUP(C260,#REF!,8,0)),"",VLOOKUP(C260,#REF!,8,0))</f>
        <v/>
      </c>
    </row>
    <row r="261" spans="1:22" ht="48.75" customHeight="1" x14ac:dyDescent="0.15">
      <c r="A261" s="13">
        <v>495</v>
      </c>
      <c r="B261" s="14"/>
      <c r="C261" s="14"/>
      <c r="D261" s="15" t="str">
        <f>C261&amp;COUNTIF($C$1:C261,C261)</f>
        <v>0</v>
      </c>
      <c r="E261" s="14"/>
      <c r="F261" s="16"/>
      <c r="G261" s="17"/>
      <c r="H261" s="18"/>
      <c r="J261" s="20" t="str">
        <f t="shared" si="10"/>
        <v>0.1.</v>
      </c>
      <c r="K261" s="15" t="str">
        <f t="shared" si="11"/>
        <v>0:00</v>
      </c>
      <c r="L261" s="17"/>
      <c r="M261" s="17"/>
      <c r="N261" s="22"/>
      <c r="O261" s="17"/>
      <c r="P261" s="17"/>
      <c r="Q261" s="17"/>
      <c r="R261" s="24"/>
      <c r="S261" s="23"/>
      <c r="T261" s="15" t="s">
        <v>46</v>
      </c>
      <c r="U261" s="17"/>
      <c r="V261" s="15" t="str">
        <f>IF(ISERROR(VLOOKUP(C261,#REF!,8,0)),"",VLOOKUP(C261,#REF!,8,0))</f>
        <v/>
      </c>
    </row>
    <row r="262" spans="1:22" ht="48.75" customHeight="1" x14ac:dyDescent="0.15">
      <c r="A262" s="13">
        <v>496</v>
      </c>
      <c r="B262" s="14"/>
      <c r="C262" s="14"/>
      <c r="D262" s="15" t="str">
        <f>C262&amp;COUNTIF($C$1:C262,C262)</f>
        <v>0</v>
      </c>
      <c r="E262" s="14"/>
      <c r="F262" s="16"/>
      <c r="G262" s="17"/>
      <c r="H262" s="18"/>
      <c r="J262" s="20" t="str">
        <f t="shared" si="10"/>
        <v>0.1.</v>
      </c>
      <c r="K262" s="15" t="str">
        <f t="shared" si="11"/>
        <v>0:00</v>
      </c>
      <c r="L262" s="17"/>
      <c r="M262" s="17"/>
      <c r="N262" s="22"/>
      <c r="O262" s="17"/>
      <c r="P262" s="17"/>
      <c r="Q262" s="17"/>
      <c r="R262" s="24"/>
      <c r="S262" s="23"/>
      <c r="T262" s="15" t="s">
        <v>46</v>
      </c>
      <c r="U262" s="17"/>
      <c r="V262" s="15" t="str">
        <f>IF(ISERROR(VLOOKUP(C262,#REF!,8,0)),"",VLOOKUP(C262,#REF!,8,0))</f>
        <v/>
      </c>
    </row>
    <row r="263" spans="1:22" ht="48.75" customHeight="1" x14ac:dyDescent="0.15">
      <c r="A263" s="13">
        <v>497</v>
      </c>
      <c r="B263" s="14"/>
      <c r="C263" s="14"/>
      <c r="D263" s="15" t="str">
        <f>C263&amp;COUNTIF($C$1:C263,C263)</f>
        <v>0</v>
      </c>
      <c r="E263" s="14"/>
      <c r="F263" s="16"/>
      <c r="G263" s="17"/>
      <c r="H263" s="18"/>
      <c r="J263" s="20" t="str">
        <f t="shared" si="10"/>
        <v>0.1.</v>
      </c>
      <c r="K263" s="15" t="str">
        <f t="shared" si="11"/>
        <v>0:00</v>
      </c>
      <c r="L263" s="17"/>
      <c r="M263" s="17"/>
      <c r="N263" s="22"/>
      <c r="O263" s="17"/>
      <c r="P263" s="17"/>
      <c r="Q263" s="17"/>
      <c r="R263" s="24"/>
      <c r="S263" s="23"/>
      <c r="T263" s="15" t="s">
        <v>46</v>
      </c>
      <c r="U263" s="17"/>
      <c r="V263" s="15" t="str">
        <f>IF(ISERROR(VLOOKUP(C263,#REF!,8,0)),"",VLOOKUP(C263,#REF!,8,0))</f>
        <v/>
      </c>
    </row>
    <row r="264" spans="1:22" ht="48.75" customHeight="1" x14ac:dyDescent="0.15">
      <c r="A264" s="13">
        <v>498</v>
      </c>
      <c r="B264" s="14"/>
      <c r="C264" s="14"/>
      <c r="D264" s="15" t="str">
        <f>C264&amp;COUNTIF($C$1:C264,C264)</f>
        <v>0</v>
      </c>
      <c r="E264" s="14"/>
      <c r="F264" s="16"/>
      <c r="G264" s="17"/>
      <c r="H264" s="18"/>
      <c r="J264" s="20" t="str">
        <f t="shared" si="10"/>
        <v>0.1.</v>
      </c>
      <c r="K264" s="15" t="str">
        <f t="shared" si="11"/>
        <v>0:00</v>
      </c>
      <c r="L264" s="17"/>
      <c r="M264" s="17"/>
      <c r="N264" s="22"/>
      <c r="O264" s="17"/>
      <c r="P264" s="17"/>
      <c r="Q264" s="17"/>
      <c r="R264" s="24"/>
      <c r="S264" s="23"/>
      <c r="T264" s="15" t="s">
        <v>46</v>
      </c>
      <c r="U264" s="17"/>
      <c r="V264" s="15" t="str">
        <f>IF(ISERROR(VLOOKUP(C264,#REF!,8,0)),"",VLOOKUP(C264,#REF!,8,0))</f>
        <v/>
      </c>
    </row>
    <row r="265" spans="1:22" ht="48.75" customHeight="1" x14ac:dyDescent="0.15">
      <c r="A265" s="13">
        <v>499</v>
      </c>
      <c r="B265" s="14"/>
      <c r="C265" s="14"/>
      <c r="D265" s="15" t="str">
        <f>C265&amp;COUNTIF($C$1:C265,C265)</f>
        <v>0</v>
      </c>
      <c r="E265" s="14"/>
      <c r="F265" s="16"/>
      <c r="G265" s="17"/>
      <c r="H265" s="18"/>
      <c r="J265" s="20" t="str">
        <f t="shared" si="10"/>
        <v>0.1.</v>
      </c>
      <c r="K265" s="15" t="str">
        <f t="shared" si="11"/>
        <v>0:00</v>
      </c>
      <c r="L265" s="17"/>
      <c r="M265" s="17"/>
      <c r="N265" s="22"/>
      <c r="O265" s="17"/>
      <c r="P265" s="17"/>
      <c r="Q265" s="17"/>
      <c r="R265" s="24"/>
      <c r="S265" s="23"/>
      <c r="T265" s="15" t="s">
        <v>46</v>
      </c>
      <c r="U265" s="17"/>
      <c r="V265" s="15" t="str">
        <f>IF(ISERROR(VLOOKUP(C265,#REF!,8,0)),"",VLOOKUP(C265,#REF!,8,0))</f>
        <v/>
      </c>
    </row>
    <row r="266" spans="1:22" ht="48.75" customHeight="1" x14ac:dyDescent="0.15">
      <c r="A266" s="13">
        <v>500</v>
      </c>
      <c r="B266" s="14"/>
      <c r="C266" s="14"/>
      <c r="D266" s="15" t="str">
        <f>C266&amp;COUNTIF($C$1:C266,C266)</f>
        <v>0</v>
      </c>
      <c r="E266" s="14"/>
      <c r="F266" s="16"/>
      <c r="G266" s="17"/>
      <c r="H266" s="18"/>
      <c r="J266" s="20" t="str">
        <f t="shared" si="10"/>
        <v>0.1.</v>
      </c>
      <c r="K266" s="15" t="str">
        <f t="shared" si="11"/>
        <v>0:00</v>
      </c>
      <c r="L266" s="17"/>
      <c r="M266" s="17"/>
      <c r="N266" s="22"/>
      <c r="O266" s="17"/>
      <c r="P266" s="17"/>
      <c r="Q266" s="17"/>
      <c r="R266" s="24"/>
      <c r="S266" s="23"/>
      <c r="T266" s="15" t="s">
        <v>46</v>
      </c>
      <c r="U266" s="17"/>
      <c r="V266" s="15" t="str">
        <f>IF(ISERROR(VLOOKUP(C266,#REF!,8,0)),"",VLOOKUP(C266,#REF!,8,0))</f>
        <v/>
      </c>
    </row>
    <row r="267" spans="1:22" ht="48.75" customHeight="1" x14ac:dyDescent="0.15">
      <c r="A267" s="13">
        <v>501</v>
      </c>
      <c r="B267" s="14"/>
      <c r="C267" s="14"/>
      <c r="D267" s="15" t="str">
        <f>C267&amp;COUNTIF($C$1:C267,C267)</f>
        <v>0</v>
      </c>
      <c r="E267" s="14"/>
      <c r="F267" s="16"/>
      <c r="G267" s="17"/>
      <c r="H267" s="18"/>
      <c r="J267" s="20" t="str">
        <f t="shared" si="10"/>
        <v>0.1.</v>
      </c>
      <c r="K267" s="15" t="str">
        <f t="shared" si="11"/>
        <v>0:00</v>
      </c>
      <c r="L267" s="17"/>
      <c r="M267" s="17"/>
      <c r="N267" s="22"/>
      <c r="O267" s="17"/>
      <c r="P267" s="17"/>
      <c r="Q267" s="17"/>
      <c r="R267" s="24"/>
      <c r="S267" s="23"/>
      <c r="T267" s="15" t="s">
        <v>46</v>
      </c>
      <c r="U267" s="17"/>
      <c r="V267" s="15" t="str">
        <f>IF(ISERROR(VLOOKUP(C267,#REF!,8,0)),"",VLOOKUP(C267,#REF!,8,0))</f>
        <v/>
      </c>
    </row>
    <row r="268" spans="1:22" ht="48.75" customHeight="1" x14ac:dyDescent="0.15">
      <c r="A268" s="13">
        <v>502</v>
      </c>
      <c r="B268" s="14"/>
      <c r="C268" s="14"/>
      <c r="D268" s="15" t="str">
        <f>C268&amp;COUNTIF($C$1:C268,C268)</f>
        <v>0</v>
      </c>
      <c r="E268" s="14"/>
      <c r="F268" s="16"/>
      <c r="G268" s="17"/>
      <c r="H268" s="18"/>
      <c r="J268" s="20" t="str">
        <f t="shared" si="10"/>
        <v>0.1.</v>
      </c>
      <c r="K268" s="15" t="str">
        <f t="shared" si="11"/>
        <v>0:00</v>
      </c>
      <c r="L268" s="17"/>
      <c r="M268" s="17"/>
      <c r="N268" s="22"/>
      <c r="O268" s="17"/>
      <c r="P268" s="17"/>
      <c r="Q268" s="17"/>
      <c r="R268" s="24"/>
      <c r="S268" s="23"/>
      <c r="T268" s="15" t="s">
        <v>46</v>
      </c>
      <c r="U268" s="17"/>
      <c r="V268" s="15" t="str">
        <f>IF(ISERROR(VLOOKUP(C268,#REF!,8,0)),"",VLOOKUP(C268,#REF!,8,0))</f>
        <v/>
      </c>
    </row>
    <row r="269" spans="1:22" ht="48.75" customHeight="1" x14ac:dyDescent="0.15">
      <c r="A269" s="13">
        <v>503</v>
      </c>
      <c r="B269" s="14"/>
      <c r="C269" s="14"/>
      <c r="D269" s="15" t="str">
        <f>C269&amp;COUNTIF($C$1:C269,C269)</f>
        <v>0</v>
      </c>
      <c r="E269" s="14"/>
      <c r="F269" s="16"/>
      <c r="G269" s="17"/>
      <c r="H269" s="18"/>
      <c r="J269" s="20" t="str">
        <f t="shared" si="10"/>
        <v>0.1.</v>
      </c>
      <c r="K269" s="15" t="str">
        <f t="shared" si="11"/>
        <v>0:00</v>
      </c>
      <c r="L269" s="17"/>
      <c r="M269" s="17"/>
      <c r="N269" s="22"/>
      <c r="O269" s="17"/>
      <c r="P269" s="17"/>
      <c r="Q269" s="17"/>
      <c r="R269" s="24"/>
      <c r="S269" s="23"/>
      <c r="T269" s="15" t="s">
        <v>46</v>
      </c>
      <c r="U269" s="17"/>
      <c r="V269" s="15" t="str">
        <f>IF(ISERROR(VLOOKUP(C269,#REF!,8,0)),"",VLOOKUP(C269,#REF!,8,0))</f>
        <v/>
      </c>
    </row>
    <row r="270" spans="1:22" ht="48.75" customHeight="1" x14ac:dyDescent="0.15">
      <c r="A270" s="13">
        <v>504</v>
      </c>
      <c r="B270" s="14"/>
      <c r="C270" s="14"/>
      <c r="D270" s="15" t="str">
        <f>C270&amp;COUNTIF($C$1:C270,C270)</f>
        <v>0</v>
      </c>
      <c r="E270" s="14"/>
      <c r="F270" s="16"/>
      <c r="G270" s="17"/>
      <c r="H270" s="18"/>
      <c r="J270" s="20" t="str">
        <f t="shared" si="10"/>
        <v>0.1.</v>
      </c>
      <c r="K270" s="15" t="str">
        <f t="shared" si="11"/>
        <v>0:00</v>
      </c>
      <c r="L270" s="17"/>
      <c r="M270" s="17"/>
      <c r="N270" s="22"/>
      <c r="O270" s="17"/>
      <c r="P270" s="17"/>
      <c r="Q270" s="17"/>
      <c r="R270" s="24"/>
      <c r="S270" s="23"/>
      <c r="T270" s="15" t="s">
        <v>46</v>
      </c>
      <c r="U270" s="17"/>
      <c r="V270" s="15" t="str">
        <f>IF(ISERROR(VLOOKUP(C270,#REF!,8,0)),"",VLOOKUP(C270,#REF!,8,0))</f>
        <v/>
      </c>
    </row>
    <row r="271" spans="1:22" ht="48.75" customHeight="1" x14ac:dyDescent="0.15">
      <c r="A271" s="13">
        <v>505</v>
      </c>
      <c r="B271" s="14"/>
      <c r="C271" s="14"/>
      <c r="D271" s="15" t="str">
        <f>C271&amp;COUNTIF($C$1:C271,C271)</f>
        <v>0</v>
      </c>
      <c r="E271" s="14"/>
      <c r="F271" s="16"/>
      <c r="G271" s="17"/>
      <c r="H271" s="18"/>
      <c r="J271" s="20" t="str">
        <f t="shared" si="10"/>
        <v>0.1.</v>
      </c>
      <c r="K271" s="15" t="str">
        <f t="shared" si="11"/>
        <v>0:00</v>
      </c>
      <c r="L271" s="17"/>
      <c r="M271" s="17"/>
      <c r="N271" s="22"/>
      <c r="O271" s="17"/>
      <c r="P271" s="17"/>
      <c r="Q271" s="17"/>
      <c r="R271" s="24"/>
      <c r="S271" s="23"/>
      <c r="T271" s="15" t="s">
        <v>46</v>
      </c>
      <c r="U271" s="17"/>
      <c r="V271" s="15" t="str">
        <f>IF(ISERROR(VLOOKUP(C271,#REF!,8,0)),"",VLOOKUP(C271,#REF!,8,0))</f>
        <v/>
      </c>
    </row>
    <row r="272" spans="1:22" ht="48.75" customHeight="1" x14ac:dyDescent="0.15">
      <c r="A272" s="13">
        <v>506</v>
      </c>
      <c r="B272" s="14"/>
      <c r="C272" s="14"/>
      <c r="D272" s="15" t="str">
        <f>C272&amp;COUNTIF($C$1:C272,C272)</f>
        <v>0</v>
      </c>
      <c r="E272" s="14"/>
      <c r="F272" s="16"/>
      <c r="G272" s="17"/>
      <c r="H272" s="18"/>
      <c r="J272" s="20" t="str">
        <f t="shared" si="10"/>
        <v>0.1.</v>
      </c>
      <c r="K272" s="15" t="str">
        <f t="shared" si="11"/>
        <v>0:00</v>
      </c>
      <c r="L272" s="17"/>
      <c r="M272" s="17"/>
      <c r="N272" s="22"/>
      <c r="O272" s="17"/>
      <c r="P272" s="17"/>
      <c r="Q272" s="17"/>
      <c r="R272" s="24"/>
      <c r="S272" s="23"/>
      <c r="T272" s="15" t="s">
        <v>46</v>
      </c>
      <c r="U272" s="17"/>
      <c r="V272" s="15" t="str">
        <f>IF(ISERROR(VLOOKUP(C272,#REF!,8,0)),"",VLOOKUP(C272,#REF!,8,0))</f>
        <v/>
      </c>
    </row>
    <row r="273" spans="1:22" ht="48.75" customHeight="1" x14ac:dyDescent="0.15">
      <c r="A273" s="13">
        <v>507</v>
      </c>
      <c r="B273" s="14"/>
      <c r="C273" s="14"/>
      <c r="D273" s="15" t="str">
        <f>C273&amp;COUNTIF($C$1:C273,C273)</f>
        <v>0</v>
      </c>
      <c r="E273" s="14"/>
      <c r="F273" s="16"/>
      <c r="G273" s="17"/>
      <c r="H273" s="18"/>
      <c r="J273" s="20" t="str">
        <f t="shared" si="10"/>
        <v>0.1.</v>
      </c>
      <c r="K273" s="15" t="str">
        <f t="shared" si="11"/>
        <v>0:00</v>
      </c>
      <c r="L273" s="17"/>
      <c r="M273" s="17"/>
      <c r="N273" s="22"/>
      <c r="O273" s="17"/>
      <c r="P273" s="17"/>
      <c r="Q273" s="17"/>
      <c r="R273" s="24"/>
      <c r="S273" s="23"/>
      <c r="T273" s="15" t="s">
        <v>46</v>
      </c>
      <c r="U273" s="17"/>
      <c r="V273" s="15" t="str">
        <f>IF(ISERROR(VLOOKUP(C273,#REF!,8,0)),"",VLOOKUP(C273,#REF!,8,0))</f>
        <v/>
      </c>
    </row>
    <row r="274" spans="1:22" ht="48.75" customHeight="1" x14ac:dyDescent="0.15">
      <c r="A274" s="13">
        <v>508</v>
      </c>
      <c r="B274" s="14"/>
      <c r="C274" s="14"/>
      <c r="D274" s="15" t="str">
        <f>C274&amp;COUNTIF($C$1:C274,C274)</f>
        <v>0</v>
      </c>
      <c r="E274" s="14"/>
      <c r="F274" s="16"/>
      <c r="G274" s="17"/>
      <c r="H274" s="18"/>
      <c r="J274" s="20" t="str">
        <f t="shared" si="10"/>
        <v>0.1.</v>
      </c>
      <c r="K274" s="15" t="str">
        <f t="shared" si="11"/>
        <v>0:00</v>
      </c>
      <c r="L274" s="17"/>
      <c r="M274" s="17"/>
      <c r="N274" s="22"/>
      <c r="O274" s="17"/>
      <c r="P274" s="17"/>
      <c r="Q274" s="17"/>
      <c r="R274" s="24"/>
      <c r="S274" s="23"/>
      <c r="T274" s="15" t="s">
        <v>46</v>
      </c>
      <c r="U274" s="17"/>
      <c r="V274" s="15" t="str">
        <f>IF(ISERROR(VLOOKUP(C274,#REF!,8,0)),"",VLOOKUP(C274,#REF!,8,0))</f>
        <v/>
      </c>
    </row>
    <row r="275" spans="1:22" ht="48.75" customHeight="1" x14ac:dyDescent="0.15">
      <c r="A275" s="13">
        <v>509</v>
      </c>
      <c r="B275" s="14"/>
      <c r="C275" s="14"/>
      <c r="D275" s="15" t="str">
        <f>C275&amp;COUNTIF($C$1:C275,C275)</f>
        <v>0</v>
      </c>
      <c r="E275" s="14"/>
      <c r="F275" s="16"/>
      <c r="G275" s="17"/>
      <c r="H275" s="18"/>
      <c r="J275" s="20" t="str">
        <f t="shared" si="10"/>
        <v>0.1.</v>
      </c>
      <c r="K275" s="15" t="str">
        <f t="shared" si="11"/>
        <v>0:00</v>
      </c>
      <c r="L275" s="17"/>
      <c r="M275" s="17"/>
      <c r="N275" s="22"/>
      <c r="O275" s="17"/>
      <c r="P275" s="17"/>
      <c r="Q275" s="17"/>
      <c r="R275" s="24"/>
      <c r="S275" s="23"/>
      <c r="T275" s="15" t="s">
        <v>46</v>
      </c>
      <c r="U275" s="17"/>
      <c r="V275" s="15" t="str">
        <f>IF(ISERROR(VLOOKUP(C275,#REF!,8,0)),"",VLOOKUP(C275,#REF!,8,0))</f>
        <v/>
      </c>
    </row>
    <row r="276" spans="1:22" ht="48.75" customHeight="1" x14ac:dyDescent="0.15">
      <c r="A276" s="13">
        <v>510</v>
      </c>
      <c r="B276" s="14"/>
      <c r="C276" s="14"/>
      <c r="D276" s="15" t="str">
        <f>C276&amp;COUNTIF($C$1:C276,C276)</f>
        <v>0</v>
      </c>
      <c r="E276" s="14"/>
      <c r="F276" s="16"/>
      <c r="G276" s="17"/>
      <c r="H276" s="18"/>
      <c r="J276" s="20" t="str">
        <f t="shared" si="10"/>
        <v>0.1.</v>
      </c>
      <c r="K276" s="15" t="str">
        <f t="shared" si="11"/>
        <v>0:00</v>
      </c>
      <c r="L276" s="17"/>
      <c r="M276" s="17"/>
      <c r="N276" s="22"/>
      <c r="O276" s="17"/>
      <c r="P276" s="17"/>
      <c r="Q276" s="17"/>
      <c r="R276" s="24"/>
      <c r="S276" s="23"/>
      <c r="T276" s="15" t="s">
        <v>46</v>
      </c>
      <c r="U276" s="17"/>
      <c r="V276" s="15" t="str">
        <f>IF(ISERROR(VLOOKUP(C276,#REF!,8,0)),"",VLOOKUP(C276,#REF!,8,0))</f>
        <v/>
      </c>
    </row>
    <row r="277" spans="1:22" ht="48.75" customHeight="1" x14ac:dyDescent="0.15">
      <c r="A277" s="13">
        <v>511</v>
      </c>
      <c r="B277" s="14"/>
      <c r="C277" s="14"/>
      <c r="D277" s="15" t="str">
        <f>C277&amp;COUNTIF($C$1:C277,C277)</f>
        <v>0</v>
      </c>
      <c r="E277" s="14"/>
      <c r="F277" s="16"/>
      <c r="G277" s="17"/>
      <c r="H277" s="18"/>
      <c r="J277" s="20" t="str">
        <f t="shared" si="10"/>
        <v>0.1.</v>
      </c>
      <c r="K277" s="15" t="str">
        <f t="shared" si="11"/>
        <v>0:00</v>
      </c>
      <c r="L277" s="17"/>
      <c r="M277" s="17"/>
      <c r="N277" s="22"/>
      <c r="O277" s="17"/>
      <c r="P277" s="17"/>
      <c r="Q277" s="17"/>
      <c r="R277" s="24"/>
      <c r="S277" s="23"/>
      <c r="T277" s="15" t="s">
        <v>46</v>
      </c>
      <c r="U277" s="17"/>
      <c r="V277" s="15" t="str">
        <f>IF(ISERROR(VLOOKUP(C277,#REF!,8,0)),"",VLOOKUP(C277,#REF!,8,0))</f>
        <v/>
      </c>
    </row>
    <row r="278" spans="1:22" ht="48.75" customHeight="1" x14ac:dyDescent="0.15">
      <c r="A278" s="13">
        <v>512</v>
      </c>
      <c r="B278" s="14"/>
      <c r="C278" s="14"/>
      <c r="D278" s="15" t="str">
        <f>C278&amp;COUNTIF($C$1:C278,C278)</f>
        <v>0</v>
      </c>
      <c r="E278" s="14"/>
      <c r="F278" s="16"/>
      <c r="G278" s="17"/>
      <c r="H278" s="18"/>
      <c r="J278" s="20" t="str">
        <f t="shared" si="10"/>
        <v>0.1.</v>
      </c>
      <c r="K278" s="15" t="str">
        <f t="shared" si="11"/>
        <v>0:00</v>
      </c>
      <c r="L278" s="17"/>
      <c r="M278" s="17"/>
      <c r="N278" s="22"/>
      <c r="O278" s="17"/>
      <c r="P278" s="17"/>
      <c r="Q278" s="17"/>
      <c r="R278" s="24"/>
      <c r="S278" s="23"/>
      <c r="T278" s="15" t="s">
        <v>46</v>
      </c>
      <c r="U278" s="17"/>
      <c r="V278" s="15" t="str">
        <f>IF(ISERROR(VLOOKUP(C278,#REF!,8,0)),"",VLOOKUP(C278,#REF!,8,0))</f>
        <v/>
      </c>
    </row>
    <row r="279" spans="1:22" ht="48.75" customHeight="1" x14ac:dyDescent="0.15">
      <c r="A279" s="13">
        <v>513</v>
      </c>
      <c r="B279" s="14"/>
      <c r="C279" s="14"/>
      <c r="D279" s="15" t="str">
        <f>C279&amp;COUNTIF($C$1:C279,C279)</f>
        <v>0</v>
      </c>
      <c r="E279" s="14"/>
      <c r="F279" s="16"/>
      <c r="G279" s="17"/>
      <c r="H279" s="18"/>
      <c r="J279" s="20" t="str">
        <f t="shared" si="10"/>
        <v>0.1.</v>
      </c>
      <c r="K279" s="15" t="str">
        <f t="shared" si="11"/>
        <v>0:00</v>
      </c>
      <c r="L279" s="17"/>
      <c r="M279" s="17"/>
      <c r="N279" s="22"/>
      <c r="O279" s="17"/>
      <c r="P279" s="17"/>
      <c r="Q279" s="17"/>
      <c r="R279" s="24"/>
      <c r="S279" s="23"/>
      <c r="T279" s="15" t="s">
        <v>46</v>
      </c>
      <c r="U279" s="17"/>
      <c r="V279" s="15" t="str">
        <f>IF(ISERROR(VLOOKUP(C279,#REF!,8,0)),"",VLOOKUP(C279,#REF!,8,0))</f>
        <v/>
      </c>
    </row>
    <row r="280" spans="1:22" ht="48.75" customHeight="1" x14ac:dyDescent="0.15">
      <c r="A280" s="13">
        <v>514</v>
      </c>
      <c r="B280" s="14"/>
      <c r="C280" s="14"/>
      <c r="D280" s="15" t="str">
        <f>C280&amp;COUNTIF($C$1:C280,C280)</f>
        <v>0</v>
      </c>
      <c r="E280" s="14"/>
      <c r="F280" s="16"/>
      <c r="G280" s="17"/>
      <c r="H280" s="18"/>
      <c r="J280" s="20" t="str">
        <f t="shared" si="10"/>
        <v>0.1.</v>
      </c>
      <c r="K280" s="15" t="str">
        <f t="shared" si="11"/>
        <v>0:00</v>
      </c>
      <c r="L280" s="17"/>
      <c r="M280" s="17"/>
      <c r="N280" s="22"/>
      <c r="O280" s="17"/>
      <c r="P280" s="17"/>
      <c r="Q280" s="17"/>
      <c r="R280" s="24"/>
      <c r="S280" s="23"/>
      <c r="T280" s="15" t="s">
        <v>46</v>
      </c>
      <c r="U280" s="17"/>
      <c r="V280" s="15" t="str">
        <f>IF(ISERROR(VLOOKUP(C280,#REF!,8,0)),"",VLOOKUP(C280,#REF!,8,0))</f>
        <v/>
      </c>
    </row>
    <row r="281" spans="1:22" ht="48.75" customHeight="1" x14ac:dyDescent="0.15">
      <c r="A281" s="13">
        <v>515</v>
      </c>
      <c r="B281" s="14"/>
      <c r="C281" s="14"/>
      <c r="D281" s="15" t="str">
        <f>C281&amp;COUNTIF($C$1:C281,C281)</f>
        <v>0</v>
      </c>
      <c r="E281" s="14"/>
      <c r="F281" s="16"/>
      <c r="G281" s="17"/>
      <c r="H281" s="18"/>
      <c r="J281" s="20" t="str">
        <f t="shared" si="10"/>
        <v>0.1.</v>
      </c>
      <c r="K281" s="15" t="str">
        <f t="shared" si="11"/>
        <v>0:00</v>
      </c>
      <c r="L281" s="17"/>
      <c r="M281" s="17"/>
      <c r="N281" s="22"/>
      <c r="O281" s="17"/>
      <c r="P281" s="17"/>
      <c r="Q281" s="17"/>
      <c r="R281" s="24"/>
      <c r="S281" s="23"/>
      <c r="T281" s="15" t="s">
        <v>46</v>
      </c>
      <c r="U281" s="17"/>
      <c r="V281" s="15" t="str">
        <f>IF(ISERROR(VLOOKUP(C281,#REF!,8,0)),"",VLOOKUP(C281,#REF!,8,0))</f>
        <v/>
      </c>
    </row>
    <row r="282" spans="1:22" ht="48.75" customHeight="1" x14ac:dyDescent="0.15">
      <c r="A282" s="13">
        <v>516</v>
      </c>
      <c r="B282" s="14"/>
      <c r="C282" s="14"/>
      <c r="D282" s="15" t="str">
        <f>C282&amp;COUNTIF($C$1:C282,C282)</f>
        <v>0</v>
      </c>
      <c r="E282" s="14"/>
      <c r="F282" s="16"/>
      <c r="G282" s="17"/>
      <c r="H282" s="18"/>
      <c r="J282" s="20" t="str">
        <f t="shared" si="10"/>
        <v>0.1.</v>
      </c>
      <c r="K282" s="15" t="str">
        <f t="shared" si="11"/>
        <v>0:00</v>
      </c>
      <c r="L282" s="17"/>
      <c r="M282" s="17"/>
      <c r="N282" s="22"/>
      <c r="O282" s="17"/>
      <c r="P282" s="17"/>
      <c r="Q282" s="17"/>
      <c r="R282" s="24"/>
      <c r="S282" s="23"/>
      <c r="T282" s="15" t="s">
        <v>46</v>
      </c>
      <c r="U282" s="17"/>
      <c r="V282" s="15" t="str">
        <f>IF(ISERROR(VLOOKUP(C282,#REF!,8,0)),"",VLOOKUP(C282,#REF!,8,0))</f>
        <v/>
      </c>
    </row>
    <row r="283" spans="1:22" ht="48.75" customHeight="1" x14ac:dyDescent="0.15">
      <c r="A283" s="13">
        <v>517</v>
      </c>
      <c r="B283" s="14"/>
      <c r="C283" s="14"/>
      <c r="D283" s="15" t="str">
        <f>C283&amp;COUNTIF($C$1:C283,C283)</f>
        <v>0</v>
      </c>
      <c r="E283" s="14"/>
      <c r="F283" s="16"/>
      <c r="G283" s="17"/>
      <c r="H283" s="18"/>
      <c r="J283" s="20" t="str">
        <f t="shared" si="10"/>
        <v>0.1.</v>
      </c>
      <c r="K283" s="15" t="str">
        <f t="shared" si="11"/>
        <v>0:00</v>
      </c>
      <c r="L283" s="17"/>
      <c r="M283" s="17"/>
      <c r="N283" s="22"/>
      <c r="O283" s="17"/>
      <c r="P283" s="17"/>
      <c r="Q283" s="17"/>
      <c r="R283" s="24"/>
      <c r="S283" s="23"/>
      <c r="T283" s="15" t="s">
        <v>46</v>
      </c>
      <c r="U283" s="17"/>
      <c r="V283" s="15" t="str">
        <f>IF(ISERROR(VLOOKUP(C283,#REF!,8,0)),"",VLOOKUP(C283,#REF!,8,0))</f>
        <v/>
      </c>
    </row>
    <row r="284" spans="1:22" ht="48.75" customHeight="1" x14ac:dyDescent="0.15">
      <c r="A284" s="13">
        <v>518</v>
      </c>
      <c r="B284" s="14"/>
      <c r="C284" s="14"/>
      <c r="D284" s="15" t="str">
        <f>C284&amp;COUNTIF($C$1:C284,C284)</f>
        <v>0</v>
      </c>
      <c r="E284" s="14"/>
      <c r="F284" s="16"/>
      <c r="G284" s="17"/>
      <c r="H284" s="18"/>
      <c r="J284" s="20" t="str">
        <f t="shared" si="10"/>
        <v>0.1.</v>
      </c>
      <c r="K284" s="15" t="str">
        <f t="shared" si="11"/>
        <v>0:00</v>
      </c>
      <c r="L284" s="17"/>
      <c r="M284" s="17"/>
      <c r="N284" s="22"/>
      <c r="O284" s="17"/>
      <c r="P284" s="17"/>
      <c r="Q284" s="17"/>
      <c r="R284" s="24"/>
      <c r="S284" s="23"/>
      <c r="T284" s="15" t="s">
        <v>46</v>
      </c>
      <c r="U284" s="17"/>
      <c r="V284" s="15" t="str">
        <f>IF(ISERROR(VLOOKUP(C284,#REF!,8,0)),"",VLOOKUP(C284,#REF!,8,0))</f>
        <v/>
      </c>
    </row>
    <row r="285" spans="1:22" ht="48.75" customHeight="1" x14ac:dyDescent="0.15">
      <c r="A285" s="13">
        <v>519</v>
      </c>
      <c r="B285" s="14"/>
      <c r="C285" s="14"/>
      <c r="D285" s="15" t="str">
        <f>C285&amp;COUNTIF($C$1:C285,C285)</f>
        <v>0</v>
      </c>
      <c r="E285" s="14"/>
      <c r="F285" s="16"/>
      <c r="G285" s="17"/>
      <c r="H285" s="18"/>
      <c r="J285" s="20" t="str">
        <f t="shared" si="10"/>
        <v>0.1.</v>
      </c>
      <c r="K285" s="15" t="str">
        <f t="shared" si="11"/>
        <v>0:00</v>
      </c>
      <c r="L285" s="17"/>
      <c r="M285" s="17"/>
      <c r="N285" s="22"/>
      <c r="O285" s="17"/>
      <c r="P285" s="17"/>
      <c r="Q285" s="17"/>
      <c r="R285" s="24"/>
      <c r="S285" s="23"/>
      <c r="T285" s="15" t="s">
        <v>46</v>
      </c>
      <c r="U285" s="17"/>
      <c r="V285" s="15" t="str">
        <f>IF(ISERROR(VLOOKUP(C285,#REF!,8,0)),"",VLOOKUP(C285,#REF!,8,0))</f>
        <v/>
      </c>
    </row>
    <row r="286" spans="1:22" ht="48.75" customHeight="1" x14ac:dyDescent="0.15">
      <c r="A286" s="13">
        <v>520</v>
      </c>
      <c r="B286" s="14"/>
      <c r="C286" s="14"/>
      <c r="D286" s="15" t="str">
        <f>C286&amp;COUNTIF($C$1:C286,C286)</f>
        <v>0</v>
      </c>
      <c r="E286" s="14"/>
      <c r="F286" s="16"/>
      <c r="G286" s="17"/>
      <c r="H286" s="18"/>
      <c r="J286" s="20" t="str">
        <f t="shared" si="10"/>
        <v>0.1.</v>
      </c>
      <c r="K286" s="15" t="str">
        <f t="shared" si="11"/>
        <v>0:00</v>
      </c>
      <c r="L286" s="17"/>
      <c r="M286" s="17"/>
      <c r="N286" s="22"/>
      <c r="O286" s="17"/>
      <c r="P286" s="17"/>
      <c r="Q286" s="17"/>
      <c r="R286" s="24"/>
      <c r="S286" s="23"/>
      <c r="T286" s="15" t="s">
        <v>46</v>
      </c>
      <c r="U286" s="17"/>
      <c r="V286" s="15" t="str">
        <f>IF(ISERROR(VLOOKUP(C286,#REF!,8,0)),"",VLOOKUP(C286,#REF!,8,0))</f>
        <v/>
      </c>
    </row>
    <row r="287" spans="1:22" ht="48.75" customHeight="1" x14ac:dyDescent="0.15">
      <c r="A287" s="13">
        <v>521</v>
      </c>
      <c r="B287" s="14"/>
      <c r="C287" s="14"/>
      <c r="D287" s="15" t="str">
        <f>C287&amp;COUNTIF($C$1:C287,C287)</f>
        <v>0</v>
      </c>
      <c r="E287" s="14"/>
      <c r="F287" s="16"/>
      <c r="G287" s="17"/>
      <c r="H287" s="18"/>
      <c r="J287" s="20" t="str">
        <f t="shared" si="10"/>
        <v>0.1.</v>
      </c>
      <c r="K287" s="15" t="str">
        <f t="shared" si="11"/>
        <v>0:00</v>
      </c>
      <c r="L287" s="17"/>
      <c r="M287" s="17"/>
      <c r="N287" s="22"/>
      <c r="O287" s="17"/>
      <c r="P287" s="17"/>
      <c r="Q287" s="17"/>
      <c r="R287" s="24"/>
      <c r="S287" s="23"/>
      <c r="T287" s="15" t="s">
        <v>46</v>
      </c>
      <c r="U287" s="17"/>
      <c r="V287" s="15" t="str">
        <f>IF(ISERROR(VLOOKUP(C287,#REF!,8,0)),"",VLOOKUP(C287,#REF!,8,0))</f>
        <v/>
      </c>
    </row>
    <row r="288" spans="1:22" ht="48.75" customHeight="1" x14ac:dyDescent="0.15">
      <c r="A288" s="13">
        <v>522</v>
      </c>
      <c r="B288" s="14"/>
      <c r="C288" s="14"/>
      <c r="D288" s="15" t="str">
        <f>C288&amp;COUNTIF($C$1:C288,C288)</f>
        <v>0</v>
      </c>
      <c r="E288" s="14"/>
      <c r="F288" s="16"/>
      <c r="G288" s="17"/>
      <c r="H288" s="18"/>
      <c r="J288" s="20" t="str">
        <f t="shared" si="10"/>
        <v>0.1.</v>
      </c>
      <c r="K288" s="15" t="str">
        <f t="shared" si="11"/>
        <v>0:00</v>
      </c>
      <c r="L288" s="17"/>
      <c r="M288" s="17"/>
      <c r="N288" s="22"/>
      <c r="O288" s="17"/>
      <c r="P288" s="17"/>
      <c r="Q288" s="17"/>
      <c r="R288" s="24"/>
      <c r="S288" s="23"/>
      <c r="T288" s="15" t="s">
        <v>46</v>
      </c>
      <c r="U288" s="17"/>
      <c r="V288" s="15" t="str">
        <f>IF(ISERROR(VLOOKUP(C288,#REF!,8,0)),"",VLOOKUP(C288,#REF!,8,0))</f>
        <v/>
      </c>
    </row>
    <row r="289" spans="1:22" ht="48.75" customHeight="1" x14ac:dyDescent="0.15">
      <c r="A289" s="13">
        <v>523</v>
      </c>
      <c r="B289" s="14"/>
      <c r="C289" s="14"/>
      <c r="D289" s="15" t="str">
        <f>C289&amp;COUNTIF($C$1:C289,C289)</f>
        <v>0</v>
      </c>
      <c r="E289" s="14"/>
      <c r="F289" s="16"/>
      <c r="G289" s="17"/>
      <c r="H289" s="18"/>
      <c r="J289" s="20" t="str">
        <f t="shared" si="10"/>
        <v>0.1.</v>
      </c>
      <c r="K289" s="15" t="str">
        <f t="shared" si="11"/>
        <v>0:00</v>
      </c>
      <c r="L289" s="17"/>
      <c r="M289" s="17"/>
      <c r="N289" s="22"/>
      <c r="O289" s="17"/>
      <c r="P289" s="17"/>
      <c r="Q289" s="17"/>
      <c r="R289" s="24"/>
      <c r="S289" s="23"/>
      <c r="T289" s="15" t="s">
        <v>46</v>
      </c>
      <c r="U289" s="17"/>
      <c r="V289" s="15" t="str">
        <f>IF(ISERROR(VLOOKUP(C289,#REF!,8,0)),"",VLOOKUP(C289,#REF!,8,0))</f>
        <v/>
      </c>
    </row>
    <row r="290" spans="1:22" ht="48.75" customHeight="1" x14ac:dyDescent="0.15">
      <c r="A290" s="13">
        <v>524</v>
      </c>
      <c r="B290" s="14"/>
      <c r="C290" s="14"/>
      <c r="D290" s="15" t="str">
        <f>C290&amp;COUNTIF($C$1:C290,C290)</f>
        <v>0</v>
      </c>
      <c r="E290" s="14"/>
      <c r="F290" s="16"/>
      <c r="G290" s="17"/>
      <c r="H290" s="18"/>
      <c r="J290" s="20" t="str">
        <f t="shared" si="10"/>
        <v>0.1.</v>
      </c>
      <c r="K290" s="15" t="str">
        <f t="shared" si="11"/>
        <v>0:00</v>
      </c>
      <c r="L290" s="17"/>
      <c r="M290" s="17"/>
      <c r="N290" s="22"/>
      <c r="O290" s="17"/>
      <c r="P290" s="17"/>
      <c r="Q290" s="17"/>
      <c r="R290" s="24"/>
      <c r="S290" s="23"/>
      <c r="T290" s="15" t="s">
        <v>46</v>
      </c>
      <c r="U290" s="17"/>
      <c r="V290" s="15" t="str">
        <f>IF(ISERROR(VLOOKUP(C290,#REF!,8,0)),"",VLOOKUP(C290,#REF!,8,0))</f>
        <v/>
      </c>
    </row>
    <row r="291" spans="1:22" ht="48.75" customHeight="1" x14ac:dyDescent="0.15">
      <c r="A291" s="13">
        <v>525</v>
      </c>
      <c r="B291" s="14"/>
      <c r="C291" s="14"/>
      <c r="D291" s="15" t="str">
        <f>C291&amp;COUNTIF($C$1:C291,C291)</f>
        <v>0</v>
      </c>
      <c r="E291" s="14"/>
      <c r="F291" s="16"/>
      <c r="G291" s="17"/>
      <c r="H291" s="18"/>
      <c r="J291" s="20" t="str">
        <f t="shared" si="10"/>
        <v>0.1.</v>
      </c>
      <c r="K291" s="15" t="str">
        <f t="shared" si="11"/>
        <v>0:00</v>
      </c>
      <c r="L291" s="17"/>
      <c r="M291" s="17"/>
      <c r="N291" s="22"/>
      <c r="O291" s="17"/>
      <c r="P291" s="17"/>
      <c r="Q291" s="17"/>
      <c r="R291" s="24"/>
      <c r="S291" s="23"/>
      <c r="T291" s="15" t="s">
        <v>46</v>
      </c>
      <c r="U291" s="17"/>
      <c r="V291" s="15" t="str">
        <f>IF(ISERROR(VLOOKUP(C291,#REF!,8,0)),"",VLOOKUP(C291,#REF!,8,0))</f>
        <v/>
      </c>
    </row>
    <row r="292" spans="1:22" ht="48.75" customHeight="1" x14ac:dyDescent="0.15">
      <c r="A292" s="13">
        <v>526</v>
      </c>
      <c r="B292" s="14"/>
      <c r="C292" s="14"/>
      <c r="D292" s="15" t="str">
        <f>C292&amp;COUNTIF($C$1:C292,C292)</f>
        <v>0</v>
      </c>
      <c r="E292" s="14"/>
      <c r="F292" s="16"/>
      <c r="G292" s="17"/>
      <c r="H292" s="18"/>
      <c r="J292" s="20" t="str">
        <f t="shared" si="10"/>
        <v>0.1.</v>
      </c>
      <c r="K292" s="15" t="str">
        <f t="shared" si="11"/>
        <v>0:00</v>
      </c>
      <c r="L292" s="17"/>
      <c r="M292" s="17"/>
      <c r="N292" s="22"/>
      <c r="O292" s="17"/>
      <c r="P292" s="17"/>
      <c r="Q292" s="17"/>
      <c r="R292" s="24"/>
      <c r="S292" s="23"/>
      <c r="T292" s="15" t="s">
        <v>46</v>
      </c>
      <c r="U292" s="17"/>
      <c r="V292" s="15" t="str">
        <f>IF(ISERROR(VLOOKUP(C292,#REF!,8,0)),"",VLOOKUP(C292,#REF!,8,0))</f>
        <v/>
      </c>
    </row>
    <row r="293" spans="1:22" ht="48.75" customHeight="1" x14ac:dyDescent="0.15">
      <c r="A293" s="13">
        <v>527</v>
      </c>
      <c r="B293" s="14"/>
      <c r="C293" s="14"/>
      <c r="D293" s="15" t="str">
        <f>C293&amp;COUNTIF($C$1:C293,C293)</f>
        <v>0</v>
      </c>
      <c r="E293" s="14"/>
      <c r="F293" s="16"/>
      <c r="G293" s="17"/>
      <c r="H293" s="18"/>
      <c r="J293" s="20" t="str">
        <f t="shared" si="10"/>
        <v>0.1.</v>
      </c>
      <c r="K293" s="15" t="str">
        <f t="shared" si="11"/>
        <v>0:00</v>
      </c>
      <c r="L293" s="17"/>
      <c r="M293" s="17"/>
      <c r="N293" s="22"/>
      <c r="O293" s="17"/>
      <c r="P293" s="17"/>
      <c r="Q293" s="17"/>
      <c r="R293" s="24"/>
      <c r="S293" s="23"/>
      <c r="T293" s="15" t="s">
        <v>46</v>
      </c>
      <c r="U293" s="17"/>
      <c r="V293" s="15" t="str">
        <f>IF(ISERROR(VLOOKUP(C293,#REF!,8,0)),"",VLOOKUP(C293,#REF!,8,0))</f>
        <v/>
      </c>
    </row>
    <row r="294" spans="1:22" ht="48.75" customHeight="1" x14ac:dyDescent="0.15">
      <c r="A294" s="13">
        <v>528</v>
      </c>
      <c r="B294" s="14"/>
      <c r="C294" s="14"/>
      <c r="D294" s="15" t="str">
        <f>C294&amp;COUNTIF($C$1:C294,C294)</f>
        <v>0</v>
      </c>
      <c r="E294" s="14"/>
      <c r="F294" s="16"/>
      <c r="G294" s="17"/>
      <c r="H294" s="18"/>
      <c r="J294" s="20" t="str">
        <f t="shared" si="10"/>
        <v>0.1.</v>
      </c>
      <c r="K294" s="15" t="str">
        <f t="shared" si="11"/>
        <v>0:00</v>
      </c>
      <c r="L294" s="17"/>
      <c r="M294" s="17"/>
      <c r="N294" s="22"/>
      <c r="O294" s="17"/>
      <c r="P294" s="17"/>
      <c r="Q294" s="17"/>
      <c r="R294" s="24"/>
      <c r="S294" s="23"/>
      <c r="T294" s="15" t="s">
        <v>46</v>
      </c>
      <c r="U294" s="17"/>
      <c r="V294" s="15" t="str">
        <f>IF(ISERROR(VLOOKUP(C294,#REF!,8,0)),"",VLOOKUP(C294,#REF!,8,0))</f>
        <v/>
      </c>
    </row>
    <row r="295" spans="1:22" ht="48.75" customHeight="1" x14ac:dyDescent="0.15">
      <c r="A295" s="13">
        <v>529</v>
      </c>
      <c r="B295" s="14"/>
      <c r="C295" s="14"/>
      <c r="D295" s="15" t="str">
        <f>C295&amp;COUNTIF($C$1:C295,C295)</f>
        <v>0</v>
      </c>
      <c r="E295" s="14"/>
      <c r="F295" s="16"/>
      <c r="G295" s="17"/>
      <c r="H295" s="18"/>
      <c r="J295" s="20" t="str">
        <f t="shared" si="10"/>
        <v>0.1.</v>
      </c>
      <c r="K295" s="15" t="str">
        <f t="shared" si="11"/>
        <v>0:00</v>
      </c>
      <c r="L295" s="17"/>
      <c r="M295" s="17"/>
      <c r="N295" s="22"/>
      <c r="O295" s="17"/>
      <c r="P295" s="17"/>
      <c r="Q295" s="17"/>
      <c r="R295" s="24"/>
      <c r="S295" s="23"/>
      <c r="T295" s="15" t="s">
        <v>46</v>
      </c>
      <c r="U295" s="17"/>
      <c r="V295" s="15" t="str">
        <f>IF(ISERROR(VLOOKUP(C295,#REF!,8,0)),"",VLOOKUP(C295,#REF!,8,0))</f>
        <v/>
      </c>
    </row>
    <row r="296" spans="1:22" ht="48.75" customHeight="1" x14ac:dyDescent="0.15">
      <c r="A296" s="13">
        <v>530</v>
      </c>
      <c r="B296" s="14"/>
      <c r="C296" s="14"/>
      <c r="D296" s="15" t="str">
        <f>C296&amp;COUNTIF($C$1:C296,C296)</f>
        <v>0</v>
      </c>
      <c r="E296" s="14"/>
      <c r="F296" s="16"/>
      <c r="G296" s="17"/>
      <c r="H296" s="18"/>
      <c r="J296" s="20" t="str">
        <f t="shared" si="10"/>
        <v>0.1.</v>
      </c>
      <c r="K296" s="15" t="str">
        <f t="shared" si="11"/>
        <v>0:00</v>
      </c>
      <c r="L296" s="17"/>
      <c r="M296" s="17"/>
      <c r="N296" s="22"/>
      <c r="O296" s="17"/>
      <c r="P296" s="17"/>
      <c r="Q296" s="17"/>
      <c r="R296" s="24"/>
      <c r="S296" s="23"/>
      <c r="T296" s="15" t="s">
        <v>46</v>
      </c>
      <c r="U296" s="17"/>
      <c r="V296" s="15" t="str">
        <f>IF(ISERROR(VLOOKUP(C296,#REF!,8,0)),"",VLOOKUP(C296,#REF!,8,0))</f>
        <v/>
      </c>
    </row>
    <row r="297" spans="1:22" ht="48.75" customHeight="1" x14ac:dyDescent="0.15">
      <c r="A297" s="13">
        <v>531</v>
      </c>
      <c r="B297" s="14"/>
      <c r="C297" s="14"/>
      <c r="D297" s="15" t="str">
        <f>C297&amp;COUNTIF($C$1:C297,C297)</f>
        <v>0</v>
      </c>
      <c r="E297" s="14"/>
      <c r="F297" s="16"/>
      <c r="G297" s="17"/>
      <c r="H297" s="18"/>
      <c r="J297" s="20" t="str">
        <f t="shared" si="10"/>
        <v>0.1.</v>
      </c>
      <c r="K297" s="15" t="str">
        <f t="shared" si="11"/>
        <v>0:00</v>
      </c>
      <c r="L297" s="17"/>
      <c r="M297" s="17"/>
      <c r="N297" s="22"/>
      <c r="O297" s="17"/>
      <c r="P297" s="17"/>
      <c r="Q297" s="17"/>
      <c r="R297" s="24"/>
      <c r="S297" s="23"/>
      <c r="T297" s="15" t="s">
        <v>46</v>
      </c>
      <c r="U297" s="17"/>
      <c r="V297" s="15" t="str">
        <f>IF(ISERROR(VLOOKUP(C297,#REF!,8,0)),"",VLOOKUP(C297,#REF!,8,0))</f>
        <v/>
      </c>
    </row>
    <row r="298" spans="1:22" ht="48.75" customHeight="1" x14ac:dyDescent="0.15">
      <c r="A298" s="13">
        <v>532</v>
      </c>
      <c r="B298" s="14"/>
      <c r="C298" s="14"/>
      <c r="D298" s="15" t="str">
        <f>C298&amp;COUNTIF($C$1:C298,C298)</f>
        <v>0</v>
      </c>
      <c r="E298" s="14"/>
      <c r="F298" s="16"/>
      <c r="G298" s="17"/>
      <c r="H298" s="18"/>
      <c r="J298" s="20" t="str">
        <f t="shared" si="10"/>
        <v>0.1.</v>
      </c>
      <c r="K298" s="15" t="str">
        <f t="shared" si="11"/>
        <v>0:00</v>
      </c>
      <c r="L298" s="17"/>
      <c r="M298" s="17"/>
      <c r="N298" s="22"/>
      <c r="O298" s="17"/>
      <c r="P298" s="17"/>
      <c r="Q298" s="17"/>
      <c r="R298" s="24"/>
      <c r="S298" s="23"/>
      <c r="T298" s="15" t="s">
        <v>46</v>
      </c>
      <c r="U298" s="17"/>
      <c r="V298" s="15" t="str">
        <f>IF(ISERROR(VLOOKUP(C298,#REF!,8,0)),"",VLOOKUP(C298,#REF!,8,0))</f>
        <v/>
      </c>
    </row>
    <row r="299" spans="1:22" ht="48.75" customHeight="1" x14ac:dyDescent="0.15">
      <c r="A299" s="13">
        <v>533</v>
      </c>
      <c r="B299" s="14"/>
      <c r="C299" s="14"/>
      <c r="D299" s="15" t="str">
        <f>C299&amp;COUNTIF($C$1:C299,C299)</f>
        <v>0</v>
      </c>
      <c r="E299" s="14"/>
      <c r="F299" s="16"/>
      <c r="G299" s="17"/>
      <c r="H299" s="18"/>
      <c r="J299" s="20" t="str">
        <f t="shared" si="10"/>
        <v>0.1.</v>
      </c>
      <c r="K299" s="15" t="str">
        <f t="shared" si="11"/>
        <v>0:00</v>
      </c>
      <c r="L299" s="17"/>
      <c r="M299" s="17"/>
      <c r="N299" s="22"/>
      <c r="O299" s="17"/>
      <c r="P299" s="17"/>
      <c r="Q299" s="17"/>
      <c r="R299" s="24"/>
      <c r="S299" s="23"/>
      <c r="T299" s="15" t="s">
        <v>46</v>
      </c>
      <c r="U299" s="17"/>
      <c r="V299" s="15" t="str">
        <f>IF(ISERROR(VLOOKUP(C299,#REF!,8,0)),"",VLOOKUP(C299,#REF!,8,0))</f>
        <v/>
      </c>
    </row>
    <row r="300" spans="1:22" ht="48.75" customHeight="1" x14ac:dyDescent="0.15">
      <c r="A300" s="13">
        <v>534</v>
      </c>
      <c r="B300" s="14"/>
      <c r="C300" s="14"/>
      <c r="D300" s="15" t="str">
        <f>C300&amp;COUNTIF($C$1:C300,C300)</f>
        <v>0</v>
      </c>
      <c r="E300" s="14"/>
      <c r="F300" s="16"/>
      <c r="G300" s="17"/>
      <c r="H300" s="18"/>
      <c r="J300" s="20" t="str">
        <f t="shared" si="10"/>
        <v>0.1.</v>
      </c>
      <c r="K300" s="15" t="str">
        <f t="shared" si="11"/>
        <v>0:00</v>
      </c>
      <c r="L300" s="17"/>
      <c r="M300" s="17"/>
      <c r="N300" s="22"/>
      <c r="O300" s="17"/>
      <c r="P300" s="17"/>
      <c r="Q300" s="17"/>
      <c r="R300" s="24"/>
      <c r="S300" s="23"/>
      <c r="T300" s="15" t="s">
        <v>46</v>
      </c>
      <c r="U300" s="17"/>
      <c r="V300" s="15" t="str">
        <f>IF(ISERROR(VLOOKUP(C300,#REF!,8,0)),"",VLOOKUP(C300,#REF!,8,0))</f>
        <v/>
      </c>
    </row>
    <row r="301" spans="1:22" ht="48.75" customHeight="1" x14ac:dyDescent="0.15">
      <c r="A301" s="13">
        <v>535</v>
      </c>
      <c r="B301" s="14"/>
      <c r="C301" s="14"/>
      <c r="D301" s="15" t="str">
        <f>C301&amp;COUNTIF($C$1:C301,C301)</f>
        <v>0</v>
      </c>
      <c r="E301" s="14"/>
      <c r="F301" s="16"/>
      <c r="G301" s="17"/>
      <c r="H301" s="18"/>
      <c r="J301" s="20" t="str">
        <f t="shared" si="10"/>
        <v>0.1.</v>
      </c>
      <c r="K301" s="15" t="str">
        <f t="shared" si="11"/>
        <v>0:00</v>
      </c>
      <c r="L301" s="17"/>
      <c r="M301" s="17"/>
      <c r="N301" s="22"/>
      <c r="O301" s="17"/>
      <c r="P301" s="17"/>
      <c r="Q301" s="17"/>
      <c r="R301" s="24"/>
      <c r="S301" s="23"/>
      <c r="T301" s="15" t="s">
        <v>46</v>
      </c>
      <c r="U301" s="17"/>
      <c r="V301" s="15" t="str">
        <f>IF(ISERROR(VLOOKUP(C301,#REF!,8,0)),"",VLOOKUP(C301,#REF!,8,0))</f>
        <v/>
      </c>
    </row>
    <row r="302" spans="1:22" ht="48.75" customHeight="1" x14ac:dyDescent="0.15">
      <c r="A302" s="13">
        <v>536</v>
      </c>
      <c r="B302" s="14"/>
      <c r="C302" s="14"/>
      <c r="D302" s="15" t="str">
        <f>C302&amp;COUNTIF($C$1:C302,C302)</f>
        <v>0</v>
      </c>
      <c r="E302" s="14"/>
      <c r="F302" s="16"/>
      <c r="G302" s="17"/>
      <c r="H302" s="18"/>
      <c r="J302" s="20" t="str">
        <f t="shared" si="10"/>
        <v>0.1.</v>
      </c>
      <c r="K302" s="15" t="str">
        <f t="shared" si="11"/>
        <v>0:00</v>
      </c>
      <c r="L302" s="17"/>
      <c r="M302" s="17"/>
      <c r="N302" s="22"/>
      <c r="O302" s="17"/>
      <c r="P302" s="17"/>
      <c r="Q302" s="17"/>
      <c r="R302" s="24"/>
      <c r="S302" s="23"/>
      <c r="T302" s="15" t="s">
        <v>46</v>
      </c>
      <c r="U302" s="17"/>
      <c r="V302" s="15" t="str">
        <f>IF(ISERROR(VLOOKUP(C302,#REF!,8,0)),"",VLOOKUP(C302,#REF!,8,0))</f>
        <v/>
      </c>
    </row>
    <row r="303" spans="1:22" ht="48.75" customHeight="1" x14ac:dyDescent="0.15">
      <c r="A303" s="13">
        <v>537</v>
      </c>
      <c r="B303" s="14"/>
      <c r="C303" s="14"/>
      <c r="D303" s="15" t="str">
        <f>C303&amp;COUNTIF($C$1:C303,C303)</f>
        <v>0</v>
      </c>
      <c r="E303" s="14"/>
      <c r="F303" s="16"/>
      <c r="G303" s="17"/>
      <c r="H303" s="18"/>
      <c r="J303" s="20" t="str">
        <f t="shared" si="10"/>
        <v>0.1.</v>
      </c>
      <c r="K303" s="15" t="str">
        <f t="shared" si="11"/>
        <v>0:00</v>
      </c>
      <c r="L303" s="17"/>
      <c r="M303" s="17"/>
      <c r="N303" s="22"/>
      <c r="O303" s="17"/>
      <c r="P303" s="17"/>
      <c r="Q303" s="17"/>
      <c r="R303" s="24"/>
      <c r="S303" s="23"/>
      <c r="T303" s="15" t="s">
        <v>46</v>
      </c>
      <c r="U303" s="17"/>
      <c r="V303" s="15" t="str">
        <f>IF(ISERROR(VLOOKUP(C303,#REF!,8,0)),"",VLOOKUP(C303,#REF!,8,0))</f>
        <v/>
      </c>
    </row>
    <row r="304" spans="1:22" ht="48.75" customHeight="1" x14ac:dyDescent="0.15">
      <c r="A304" s="13">
        <v>538</v>
      </c>
      <c r="B304" s="14"/>
      <c r="C304" s="14"/>
      <c r="D304" s="15" t="str">
        <f>C304&amp;COUNTIF($C$1:C304,C304)</f>
        <v>0</v>
      </c>
      <c r="E304" s="14"/>
      <c r="F304" s="16"/>
      <c r="G304" s="17"/>
      <c r="H304" s="18"/>
      <c r="J304" s="20" t="str">
        <f t="shared" si="10"/>
        <v>0.1.</v>
      </c>
      <c r="K304" s="15" t="str">
        <f t="shared" si="11"/>
        <v>0:00</v>
      </c>
      <c r="L304" s="17"/>
      <c r="M304" s="17"/>
      <c r="N304" s="22"/>
      <c r="O304" s="17"/>
      <c r="P304" s="17"/>
      <c r="Q304" s="17"/>
      <c r="R304" s="24"/>
      <c r="S304" s="23"/>
      <c r="T304" s="15" t="s">
        <v>46</v>
      </c>
      <c r="U304" s="17"/>
      <c r="V304" s="15" t="str">
        <f>IF(ISERROR(VLOOKUP(C304,#REF!,8,0)),"",VLOOKUP(C304,#REF!,8,0))</f>
        <v/>
      </c>
    </row>
    <row r="305" spans="1:22" ht="48.75" customHeight="1" x14ac:dyDescent="0.15">
      <c r="A305" s="13">
        <v>539</v>
      </c>
      <c r="B305" s="14"/>
      <c r="C305" s="14"/>
      <c r="D305" s="15" t="str">
        <f>C305&amp;COUNTIF($C$1:C305,C305)</f>
        <v>0</v>
      </c>
      <c r="E305" s="14"/>
      <c r="F305" s="16"/>
      <c r="G305" s="17"/>
      <c r="H305" s="18"/>
      <c r="J305" s="20" t="str">
        <f t="shared" si="10"/>
        <v>0.1.</v>
      </c>
      <c r="K305" s="15" t="str">
        <f t="shared" si="11"/>
        <v>0:00</v>
      </c>
      <c r="L305" s="17"/>
      <c r="M305" s="17"/>
      <c r="N305" s="22"/>
      <c r="O305" s="17"/>
      <c r="P305" s="17"/>
      <c r="Q305" s="17"/>
      <c r="R305" s="24"/>
      <c r="S305" s="23"/>
      <c r="T305" s="15" t="s">
        <v>46</v>
      </c>
      <c r="U305" s="17"/>
      <c r="V305" s="15" t="str">
        <f>IF(ISERROR(VLOOKUP(C305,#REF!,8,0)),"",VLOOKUP(C305,#REF!,8,0))</f>
        <v/>
      </c>
    </row>
    <row r="306" spans="1:22" ht="48.75" customHeight="1" x14ac:dyDescent="0.15">
      <c r="A306" s="13">
        <v>540</v>
      </c>
      <c r="B306" s="14"/>
      <c r="C306" s="14"/>
      <c r="D306" s="15" t="str">
        <f>C306&amp;COUNTIF($C$1:C306,C306)</f>
        <v>0</v>
      </c>
      <c r="E306" s="14"/>
      <c r="F306" s="16"/>
      <c r="G306" s="17"/>
      <c r="H306" s="18"/>
      <c r="J306" s="20" t="str">
        <f t="shared" si="10"/>
        <v>0.1.</v>
      </c>
      <c r="K306" s="15" t="str">
        <f t="shared" si="11"/>
        <v>0:00</v>
      </c>
      <c r="L306" s="17"/>
      <c r="M306" s="17"/>
      <c r="N306" s="22"/>
      <c r="O306" s="17"/>
      <c r="P306" s="17"/>
      <c r="Q306" s="17"/>
      <c r="R306" s="24"/>
      <c r="S306" s="23"/>
      <c r="T306" s="15" t="s">
        <v>46</v>
      </c>
      <c r="U306" s="17"/>
      <c r="V306" s="15" t="str">
        <f>IF(ISERROR(VLOOKUP(C306,#REF!,8,0)),"",VLOOKUP(C306,#REF!,8,0))</f>
        <v/>
      </c>
    </row>
    <row r="307" spans="1:22" ht="48.75" customHeight="1" x14ac:dyDescent="0.15">
      <c r="A307" s="13">
        <v>541</v>
      </c>
      <c r="B307" s="14"/>
      <c r="C307" s="14"/>
      <c r="D307" s="15" t="str">
        <f>C307&amp;COUNTIF($C$1:C307,C307)</f>
        <v>0</v>
      </c>
      <c r="E307" s="14"/>
      <c r="F307" s="16"/>
      <c r="G307" s="17"/>
      <c r="H307" s="18"/>
      <c r="J307" s="20" t="str">
        <f t="shared" si="10"/>
        <v>0.1.</v>
      </c>
      <c r="K307" s="15" t="str">
        <f t="shared" si="11"/>
        <v>0:00</v>
      </c>
      <c r="L307" s="17"/>
      <c r="M307" s="17"/>
      <c r="N307" s="22"/>
      <c r="O307" s="17"/>
      <c r="P307" s="17"/>
      <c r="Q307" s="17"/>
      <c r="R307" s="24"/>
      <c r="S307" s="23"/>
      <c r="T307" s="15" t="s">
        <v>46</v>
      </c>
      <c r="U307" s="17"/>
      <c r="V307" s="15" t="str">
        <f>IF(ISERROR(VLOOKUP(C307,#REF!,8,0)),"",VLOOKUP(C307,#REF!,8,0))</f>
        <v/>
      </c>
    </row>
    <row r="308" spans="1:22" ht="48.75" customHeight="1" x14ac:dyDescent="0.15">
      <c r="A308" s="13">
        <v>542</v>
      </c>
      <c r="B308" s="14"/>
      <c r="C308" s="14"/>
      <c r="D308" s="15" t="str">
        <f>C308&amp;COUNTIF($C$1:C308,C308)</f>
        <v>0</v>
      </c>
      <c r="E308" s="14"/>
      <c r="F308" s="16"/>
      <c r="G308" s="17"/>
      <c r="H308" s="18"/>
      <c r="J308" s="20" t="str">
        <f t="shared" si="10"/>
        <v>0.1.</v>
      </c>
      <c r="K308" s="15" t="str">
        <f t="shared" si="11"/>
        <v>0:00</v>
      </c>
      <c r="L308" s="17"/>
      <c r="M308" s="17"/>
      <c r="N308" s="22"/>
      <c r="O308" s="17"/>
      <c r="P308" s="17"/>
      <c r="Q308" s="17"/>
      <c r="R308" s="24"/>
      <c r="S308" s="23"/>
      <c r="T308" s="15" t="s">
        <v>46</v>
      </c>
      <c r="U308" s="17"/>
      <c r="V308" s="15" t="str">
        <f>IF(ISERROR(VLOOKUP(C308,#REF!,8,0)),"",VLOOKUP(C308,#REF!,8,0))</f>
        <v/>
      </c>
    </row>
    <row r="309" spans="1:22" ht="48.75" customHeight="1" x14ac:dyDescent="0.15">
      <c r="A309" s="13">
        <v>543</v>
      </c>
      <c r="B309" s="14"/>
      <c r="C309" s="14"/>
      <c r="D309" s="15" t="str">
        <f>C309&amp;COUNTIF($C$1:C309,C309)</f>
        <v>0</v>
      </c>
      <c r="E309" s="14"/>
      <c r="F309" s="16"/>
      <c r="G309" s="17"/>
      <c r="H309" s="18"/>
      <c r="J309" s="20" t="str">
        <f t="shared" si="10"/>
        <v>0.1.</v>
      </c>
      <c r="K309" s="15" t="str">
        <f t="shared" si="11"/>
        <v>0:00</v>
      </c>
      <c r="L309" s="17"/>
      <c r="M309" s="17"/>
      <c r="N309" s="22"/>
      <c r="O309" s="17"/>
      <c r="P309" s="17"/>
      <c r="Q309" s="17"/>
      <c r="R309" s="24"/>
      <c r="S309" s="23"/>
      <c r="T309" s="15" t="s">
        <v>46</v>
      </c>
      <c r="U309" s="17"/>
      <c r="V309" s="15" t="str">
        <f>IF(ISERROR(VLOOKUP(C309,#REF!,8,0)),"",VLOOKUP(C309,#REF!,8,0))</f>
        <v/>
      </c>
    </row>
    <row r="310" spans="1:22" ht="48.75" customHeight="1" x14ac:dyDescent="0.15">
      <c r="A310" s="13">
        <v>544</v>
      </c>
      <c r="B310" s="14"/>
      <c r="C310" s="14"/>
      <c r="D310" s="15" t="str">
        <f>C310&amp;COUNTIF($C$1:C310,C310)</f>
        <v>0</v>
      </c>
      <c r="E310" s="14"/>
      <c r="F310" s="16"/>
      <c r="G310" s="17"/>
      <c r="H310" s="18"/>
      <c r="J310" s="20" t="str">
        <f t="shared" si="10"/>
        <v>0.1.</v>
      </c>
      <c r="K310" s="15" t="str">
        <f t="shared" si="11"/>
        <v>0:00</v>
      </c>
      <c r="L310" s="17"/>
      <c r="M310" s="17"/>
      <c r="N310" s="22"/>
      <c r="O310" s="17"/>
      <c r="P310" s="17"/>
      <c r="Q310" s="17"/>
      <c r="R310" s="24"/>
      <c r="S310" s="23"/>
      <c r="T310" s="15" t="s">
        <v>46</v>
      </c>
      <c r="U310" s="17"/>
      <c r="V310" s="15" t="str">
        <f>IF(ISERROR(VLOOKUP(C310,#REF!,8,0)),"",VLOOKUP(C310,#REF!,8,0))</f>
        <v/>
      </c>
    </row>
    <row r="311" spans="1:22" ht="48.75" customHeight="1" x14ac:dyDescent="0.15">
      <c r="A311" s="13">
        <v>545</v>
      </c>
      <c r="B311" s="14"/>
      <c r="C311" s="14"/>
      <c r="D311" s="15" t="str">
        <f>C311&amp;COUNTIF($C$1:C311,C311)</f>
        <v>0</v>
      </c>
      <c r="E311" s="14"/>
      <c r="F311" s="16"/>
      <c r="G311" s="17"/>
      <c r="H311" s="18"/>
      <c r="J311" s="20" t="str">
        <f t="shared" si="10"/>
        <v>0.1.</v>
      </c>
      <c r="K311" s="15" t="str">
        <f t="shared" si="11"/>
        <v>0:00</v>
      </c>
      <c r="L311" s="17"/>
      <c r="M311" s="17"/>
      <c r="N311" s="22"/>
      <c r="O311" s="17"/>
      <c r="P311" s="17"/>
      <c r="Q311" s="17"/>
      <c r="R311" s="24"/>
      <c r="S311" s="23"/>
      <c r="T311" s="15" t="s">
        <v>46</v>
      </c>
      <c r="U311" s="17"/>
      <c r="V311" s="15" t="str">
        <f>IF(ISERROR(VLOOKUP(C311,#REF!,8,0)),"",VLOOKUP(C311,#REF!,8,0))</f>
        <v/>
      </c>
    </row>
    <row r="312" spans="1:22" ht="48.75" customHeight="1" x14ac:dyDescent="0.15">
      <c r="A312" s="13">
        <v>546</v>
      </c>
      <c r="B312" s="14"/>
      <c r="C312" s="14"/>
      <c r="D312" s="15" t="str">
        <f>C312&amp;COUNTIF($C$1:C312,C312)</f>
        <v>0</v>
      </c>
      <c r="E312" s="14"/>
      <c r="F312" s="16"/>
      <c r="G312" s="17"/>
      <c r="H312" s="18"/>
      <c r="J312" s="20" t="str">
        <f t="shared" si="10"/>
        <v>0.1.</v>
      </c>
      <c r="K312" s="15" t="str">
        <f t="shared" si="11"/>
        <v>0:00</v>
      </c>
      <c r="L312" s="17"/>
      <c r="M312" s="17"/>
      <c r="N312" s="22"/>
      <c r="O312" s="17"/>
      <c r="P312" s="17"/>
      <c r="Q312" s="17"/>
      <c r="R312" s="24"/>
      <c r="S312" s="23"/>
      <c r="T312" s="15" t="s">
        <v>46</v>
      </c>
      <c r="U312" s="17"/>
      <c r="V312" s="15" t="str">
        <f>IF(ISERROR(VLOOKUP(C312,#REF!,8,0)),"",VLOOKUP(C312,#REF!,8,0))</f>
        <v/>
      </c>
    </row>
    <row r="313" spans="1:22" ht="48.75" customHeight="1" x14ac:dyDescent="0.15">
      <c r="A313" s="13">
        <v>547</v>
      </c>
      <c r="B313" s="14"/>
      <c r="C313" s="14"/>
      <c r="D313" s="15" t="str">
        <f>C313&amp;COUNTIF($C$1:C313,C313)</f>
        <v>0</v>
      </c>
      <c r="E313" s="14"/>
      <c r="F313" s="16"/>
      <c r="G313" s="17"/>
      <c r="H313" s="18"/>
      <c r="J313" s="20" t="str">
        <f t="shared" si="10"/>
        <v>0.1.</v>
      </c>
      <c r="K313" s="15" t="str">
        <f t="shared" si="11"/>
        <v>0:00</v>
      </c>
      <c r="L313" s="17"/>
      <c r="M313" s="17"/>
      <c r="N313" s="22"/>
      <c r="O313" s="17"/>
      <c r="P313" s="17"/>
      <c r="Q313" s="17"/>
      <c r="R313" s="24"/>
      <c r="S313" s="23"/>
      <c r="T313" s="15" t="s">
        <v>46</v>
      </c>
      <c r="U313" s="17"/>
      <c r="V313" s="15" t="str">
        <f>IF(ISERROR(VLOOKUP(C313,#REF!,8,0)),"",VLOOKUP(C313,#REF!,8,0))</f>
        <v/>
      </c>
    </row>
    <row r="314" spans="1:22" ht="48.75" customHeight="1" x14ac:dyDescent="0.15">
      <c r="A314" s="13">
        <v>548</v>
      </c>
      <c r="B314" s="14"/>
      <c r="C314" s="14"/>
      <c r="D314" s="15" t="str">
        <f>C314&amp;COUNTIF($C$1:C314,C314)</f>
        <v>0</v>
      </c>
      <c r="E314" s="14"/>
      <c r="F314" s="16"/>
      <c r="G314" s="17"/>
      <c r="H314" s="18"/>
      <c r="J314" s="20" t="str">
        <f t="shared" si="10"/>
        <v>0.1.</v>
      </c>
      <c r="K314" s="15" t="str">
        <f t="shared" si="11"/>
        <v>0:00</v>
      </c>
      <c r="L314" s="17"/>
      <c r="M314" s="17"/>
      <c r="N314" s="22"/>
      <c r="O314" s="17"/>
      <c r="P314" s="17"/>
      <c r="Q314" s="17"/>
      <c r="R314" s="24"/>
      <c r="S314" s="23"/>
      <c r="T314" s="15" t="s">
        <v>46</v>
      </c>
      <c r="U314" s="17"/>
      <c r="V314" s="15" t="str">
        <f>IF(ISERROR(VLOOKUP(C314,#REF!,8,0)),"",VLOOKUP(C314,#REF!,8,0))</f>
        <v/>
      </c>
    </row>
    <row r="315" spans="1:22" ht="48.75" customHeight="1" x14ac:dyDescent="0.15">
      <c r="A315" s="13">
        <v>549</v>
      </c>
      <c r="B315" s="14"/>
      <c r="C315" s="14"/>
      <c r="D315" s="15" t="str">
        <f>C315&amp;COUNTIF($C$1:C315,C315)</f>
        <v>0</v>
      </c>
      <c r="E315" s="14"/>
      <c r="F315" s="16"/>
      <c r="G315" s="17"/>
      <c r="H315" s="18"/>
      <c r="J315" s="20" t="str">
        <f t="shared" si="10"/>
        <v>0.1.</v>
      </c>
      <c r="K315" s="15" t="str">
        <f t="shared" si="11"/>
        <v>0:00</v>
      </c>
      <c r="L315" s="17"/>
      <c r="M315" s="17"/>
      <c r="N315" s="22"/>
      <c r="O315" s="17"/>
      <c r="P315" s="17"/>
      <c r="Q315" s="17"/>
      <c r="R315" s="24"/>
      <c r="S315" s="23"/>
      <c r="T315" s="15" t="s">
        <v>46</v>
      </c>
      <c r="U315" s="17"/>
      <c r="V315" s="15" t="str">
        <f>IF(ISERROR(VLOOKUP(C315,#REF!,8,0)),"",VLOOKUP(C315,#REF!,8,0))</f>
        <v/>
      </c>
    </row>
    <row r="316" spans="1:22" ht="48.75" customHeight="1" x14ac:dyDescent="0.15">
      <c r="A316" s="13">
        <v>550</v>
      </c>
      <c r="B316" s="14"/>
      <c r="C316" s="14"/>
      <c r="D316" s="15" t="str">
        <f>C316&amp;COUNTIF($C$1:C316,C316)</f>
        <v>0</v>
      </c>
      <c r="E316" s="14"/>
      <c r="F316" s="16"/>
      <c r="G316" s="17"/>
      <c r="H316" s="18"/>
      <c r="J316" s="20" t="str">
        <f t="shared" si="10"/>
        <v>0.1.</v>
      </c>
      <c r="K316" s="15" t="str">
        <f t="shared" si="11"/>
        <v>0:00</v>
      </c>
      <c r="L316" s="17"/>
      <c r="M316" s="17"/>
      <c r="N316" s="22"/>
      <c r="O316" s="17"/>
      <c r="P316" s="17"/>
      <c r="Q316" s="17"/>
      <c r="R316" s="24"/>
      <c r="S316" s="23"/>
      <c r="T316" s="15" t="s">
        <v>46</v>
      </c>
      <c r="U316" s="17"/>
      <c r="V316" s="15" t="str">
        <f>IF(ISERROR(VLOOKUP(C316,#REF!,8,0)),"",VLOOKUP(C316,#REF!,8,0))</f>
        <v/>
      </c>
    </row>
    <row r="317" spans="1:22" ht="48.75" customHeight="1" x14ac:dyDescent="0.15">
      <c r="A317" s="13">
        <v>551</v>
      </c>
      <c r="B317" s="14"/>
      <c r="C317" s="14"/>
      <c r="D317" s="15" t="str">
        <f>C317&amp;COUNTIF($C$1:C317,C317)</f>
        <v>0</v>
      </c>
      <c r="E317" s="14"/>
      <c r="F317" s="16"/>
      <c r="G317" s="17"/>
      <c r="H317" s="18"/>
      <c r="J317" s="20" t="str">
        <f t="shared" si="10"/>
        <v>0.1.</v>
      </c>
      <c r="K317" s="15" t="str">
        <f t="shared" si="11"/>
        <v>0:00</v>
      </c>
      <c r="L317" s="17"/>
      <c r="M317" s="17"/>
      <c r="N317" s="22"/>
      <c r="O317" s="17"/>
      <c r="P317" s="17"/>
      <c r="Q317" s="17"/>
      <c r="R317" s="24"/>
      <c r="S317" s="23"/>
      <c r="T317" s="15" t="s">
        <v>46</v>
      </c>
      <c r="U317" s="17"/>
      <c r="V317" s="15" t="str">
        <f>IF(ISERROR(VLOOKUP(C317,#REF!,8,0)),"",VLOOKUP(C317,#REF!,8,0))</f>
        <v/>
      </c>
    </row>
    <row r="318" spans="1:22" ht="48.75" customHeight="1" x14ac:dyDescent="0.15">
      <c r="A318" s="13">
        <v>552</v>
      </c>
      <c r="B318" s="14"/>
      <c r="C318" s="14"/>
      <c r="D318" s="15" t="str">
        <f>C318&amp;COUNTIF($C$1:C318,C318)</f>
        <v>0</v>
      </c>
      <c r="E318" s="14"/>
      <c r="F318" s="16"/>
      <c r="G318" s="17"/>
      <c r="H318" s="18"/>
      <c r="J318" s="20" t="str">
        <f t="shared" si="10"/>
        <v>0.1.</v>
      </c>
      <c r="K318" s="15" t="str">
        <f t="shared" si="11"/>
        <v>0:00</v>
      </c>
      <c r="L318" s="17"/>
      <c r="M318" s="17"/>
      <c r="N318" s="22"/>
      <c r="O318" s="17"/>
      <c r="P318" s="17"/>
      <c r="Q318" s="17"/>
      <c r="R318" s="24"/>
      <c r="S318" s="23"/>
      <c r="T318" s="15" t="s">
        <v>46</v>
      </c>
      <c r="U318" s="17"/>
      <c r="V318" s="15" t="str">
        <f>IF(ISERROR(VLOOKUP(C318,#REF!,8,0)),"",VLOOKUP(C318,#REF!,8,0))</f>
        <v/>
      </c>
    </row>
    <row r="319" spans="1:22" ht="48.75" customHeight="1" x14ac:dyDescent="0.15">
      <c r="A319" s="13">
        <v>553</v>
      </c>
      <c r="B319" s="14"/>
      <c r="C319" s="14"/>
      <c r="D319" s="15" t="str">
        <f>C319&amp;COUNTIF($C$1:C319,C319)</f>
        <v>0</v>
      </c>
      <c r="E319" s="14"/>
      <c r="F319" s="16"/>
      <c r="G319" s="17"/>
      <c r="H319" s="18"/>
      <c r="J319" s="20" t="str">
        <f t="shared" si="10"/>
        <v>0.1.</v>
      </c>
      <c r="K319" s="15" t="str">
        <f t="shared" si="11"/>
        <v>0:00</v>
      </c>
      <c r="L319" s="17"/>
      <c r="M319" s="17"/>
      <c r="N319" s="22"/>
      <c r="O319" s="17"/>
      <c r="P319" s="17"/>
      <c r="Q319" s="17"/>
      <c r="R319" s="24"/>
      <c r="S319" s="23"/>
      <c r="T319" s="15" t="s">
        <v>46</v>
      </c>
      <c r="U319" s="17"/>
      <c r="V319" s="15" t="str">
        <f>IF(ISERROR(VLOOKUP(C319,#REF!,8,0)),"",VLOOKUP(C319,#REF!,8,0))</f>
        <v/>
      </c>
    </row>
    <row r="320" spans="1:22" ht="48.75" customHeight="1" x14ac:dyDescent="0.15">
      <c r="A320" s="13">
        <v>554</v>
      </c>
      <c r="B320" s="14"/>
      <c r="C320" s="14"/>
      <c r="D320" s="15" t="str">
        <f>C320&amp;COUNTIF($C$1:C320,C320)</f>
        <v>0</v>
      </c>
      <c r="E320" s="14"/>
      <c r="F320" s="16"/>
      <c r="G320" s="17"/>
      <c r="H320" s="18"/>
      <c r="J320" s="20" t="str">
        <f t="shared" si="10"/>
        <v>0.1.</v>
      </c>
      <c r="K320" s="15" t="str">
        <f t="shared" si="11"/>
        <v>0:00</v>
      </c>
      <c r="L320" s="17"/>
      <c r="M320" s="17"/>
      <c r="N320" s="22"/>
      <c r="O320" s="17"/>
      <c r="P320" s="17"/>
      <c r="Q320" s="17"/>
      <c r="R320" s="24"/>
      <c r="S320" s="23"/>
      <c r="T320" s="15" t="s">
        <v>46</v>
      </c>
      <c r="U320" s="17"/>
      <c r="V320" s="15" t="str">
        <f>IF(ISERROR(VLOOKUP(C320,#REF!,8,0)),"",VLOOKUP(C320,#REF!,8,0))</f>
        <v/>
      </c>
    </row>
    <row r="321" spans="1:22" ht="48.75" customHeight="1" x14ac:dyDescent="0.15">
      <c r="A321" s="13">
        <v>555</v>
      </c>
      <c r="B321" s="14"/>
      <c r="C321" s="14"/>
      <c r="D321" s="15" t="str">
        <f>C321&amp;COUNTIF($C$1:C321,C321)</f>
        <v>0</v>
      </c>
      <c r="E321" s="14"/>
      <c r="F321" s="16"/>
      <c r="G321" s="17"/>
      <c r="H321" s="18"/>
      <c r="J321" s="20" t="str">
        <f t="shared" si="10"/>
        <v>0.1.</v>
      </c>
      <c r="K321" s="15" t="str">
        <f t="shared" si="11"/>
        <v>0:00</v>
      </c>
      <c r="L321" s="17"/>
      <c r="M321" s="17"/>
      <c r="N321" s="22"/>
      <c r="O321" s="17"/>
      <c r="P321" s="17"/>
      <c r="Q321" s="17"/>
      <c r="R321" s="24"/>
      <c r="S321" s="23"/>
      <c r="T321" s="15" t="s">
        <v>46</v>
      </c>
      <c r="U321" s="17"/>
      <c r="V321" s="15" t="str">
        <f>IF(ISERROR(VLOOKUP(C321,#REF!,8,0)),"",VLOOKUP(C321,#REF!,8,0))</f>
        <v/>
      </c>
    </row>
    <row r="322" spans="1:22" ht="48.75" customHeight="1" x14ac:dyDescent="0.15">
      <c r="A322" s="13">
        <v>556</v>
      </c>
      <c r="B322" s="14"/>
      <c r="C322" s="14"/>
      <c r="D322" s="15" t="str">
        <f>C322&amp;COUNTIF($C$1:C322,C322)</f>
        <v>0</v>
      </c>
      <c r="E322" s="14"/>
      <c r="F322" s="16"/>
      <c r="G322" s="17"/>
      <c r="H322" s="18"/>
      <c r="J322" s="20" t="str">
        <f t="shared" ref="J322:J366" si="12">IF(ISERROR(DAY(H322)),H322,DAY(H322)&amp;"."&amp;MONTH(H322)&amp;".")</f>
        <v>0.1.</v>
      </c>
      <c r="K322" s="15" t="str">
        <f t="shared" ref="K322:K366" si="13">IF(ISERROR(HOUR(I322)&amp;":"&amp;IF(MINUTE(I322)=0,"00",MINUTE(I322))),I322,HOUR(I322)&amp;":"&amp;IF(MINUTE(I322)=0,"00",IF(MINUTE(I322)&lt;10,"0"&amp;MINUTE(I322),MINUTE(I322))))</f>
        <v>0:00</v>
      </c>
      <c r="L322" s="17"/>
      <c r="M322" s="17"/>
      <c r="N322" s="22"/>
      <c r="O322" s="17"/>
      <c r="P322" s="17"/>
      <c r="Q322" s="17"/>
      <c r="R322" s="24"/>
      <c r="S322" s="23"/>
      <c r="T322" s="15" t="s">
        <v>46</v>
      </c>
      <c r="U322" s="17"/>
      <c r="V322" s="15" t="str">
        <f>IF(ISERROR(VLOOKUP(C322,#REF!,8,0)),"",VLOOKUP(C322,#REF!,8,0))</f>
        <v/>
      </c>
    </row>
    <row r="323" spans="1:22" ht="48.75" customHeight="1" x14ac:dyDescent="0.15">
      <c r="A323" s="13">
        <v>557</v>
      </c>
      <c r="B323" s="14"/>
      <c r="C323" s="14"/>
      <c r="D323" s="15" t="str">
        <f>C323&amp;COUNTIF($C$1:C323,C323)</f>
        <v>0</v>
      </c>
      <c r="E323" s="14"/>
      <c r="F323" s="16"/>
      <c r="G323" s="17"/>
      <c r="H323" s="18"/>
      <c r="J323" s="20" t="str">
        <f t="shared" si="12"/>
        <v>0.1.</v>
      </c>
      <c r="K323" s="15" t="str">
        <f t="shared" si="13"/>
        <v>0:00</v>
      </c>
      <c r="L323" s="17"/>
      <c r="M323" s="17"/>
      <c r="N323" s="22"/>
      <c r="O323" s="17"/>
      <c r="P323" s="17"/>
      <c r="Q323" s="17"/>
      <c r="R323" s="24"/>
      <c r="S323" s="23"/>
      <c r="T323" s="15" t="s">
        <v>46</v>
      </c>
      <c r="U323" s="17"/>
      <c r="V323" s="15" t="str">
        <f>IF(ISERROR(VLOOKUP(C323,#REF!,8,0)),"",VLOOKUP(C323,#REF!,8,0))</f>
        <v/>
      </c>
    </row>
    <row r="324" spans="1:22" ht="48.75" customHeight="1" x14ac:dyDescent="0.15">
      <c r="A324" s="13">
        <v>558</v>
      </c>
      <c r="B324" s="14"/>
      <c r="C324" s="14"/>
      <c r="D324" s="15" t="str">
        <f>C324&amp;COUNTIF($C$1:C324,C324)</f>
        <v>0</v>
      </c>
      <c r="E324" s="14"/>
      <c r="F324" s="16"/>
      <c r="G324" s="17"/>
      <c r="H324" s="18"/>
      <c r="J324" s="20" t="str">
        <f t="shared" si="12"/>
        <v>0.1.</v>
      </c>
      <c r="K324" s="15" t="str">
        <f t="shared" si="13"/>
        <v>0:00</v>
      </c>
      <c r="L324" s="17"/>
      <c r="M324" s="17"/>
      <c r="N324" s="22"/>
      <c r="O324" s="17"/>
      <c r="P324" s="17"/>
      <c r="Q324" s="17"/>
      <c r="R324" s="24"/>
      <c r="S324" s="23"/>
      <c r="T324" s="15" t="s">
        <v>46</v>
      </c>
      <c r="U324" s="17"/>
      <c r="V324" s="15" t="str">
        <f>IF(ISERROR(VLOOKUP(C324,#REF!,8,0)),"",VLOOKUP(C324,#REF!,8,0))</f>
        <v/>
      </c>
    </row>
    <row r="325" spans="1:22" ht="48.75" customHeight="1" x14ac:dyDescent="0.15">
      <c r="A325" s="13">
        <v>559</v>
      </c>
      <c r="B325" s="14"/>
      <c r="C325" s="14"/>
      <c r="D325" s="15" t="str">
        <f>C325&amp;COUNTIF($C$1:C325,C325)</f>
        <v>0</v>
      </c>
      <c r="E325" s="14"/>
      <c r="F325" s="16"/>
      <c r="G325" s="17"/>
      <c r="H325" s="18"/>
      <c r="J325" s="20" t="str">
        <f t="shared" si="12"/>
        <v>0.1.</v>
      </c>
      <c r="K325" s="15" t="str">
        <f t="shared" si="13"/>
        <v>0:00</v>
      </c>
      <c r="L325" s="17"/>
      <c r="M325" s="17"/>
      <c r="N325" s="22"/>
      <c r="O325" s="17"/>
      <c r="P325" s="17"/>
      <c r="Q325" s="17"/>
      <c r="R325" s="24"/>
      <c r="S325" s="23"/>
      <c r="T325" s="15" t="s">
        <v>46</v>
      </c>
      <c r="U325" s="17"/>
      <c r="V325" s="15" t="str">
        <f>IF(ISERROR(VLOOKUP(C325,#REF!,8,0)),"",VLOOKUP(C325,#REF!,8,0))</f>
        <v/>
      </c>
    </row>
    <row r="326" spans="1:22" ht="48.75" customHeight="1" x14ac:dyDescent="0.15">
      <c r="A326" s="13">
        <v>560</v>
      </c>
      <c r="B326" s="14"/>
      <c r="C326" s="14"/>
      <c r="D326" s="15" t="str">
        <f>C326&amp;COUNTIF($C$1:C326,C326)</f>
        <v>0</v>
      </c>
      <c r="E326" s="14"/>
      <c r="F326" s="16"/>
      <c r="G326" s="17"/>
      <c r="H326" s="18"/>
      <c r="J326" s="20" t="str">
        <f t="shared" si="12"/>
        <v>0.1.</v>
      </c>
      <c r="K326" s="15" t="str">
        <f t="shared" si="13"/>
        <v>0:00</v>
      </c>
      <c r="L326" s="17"/>
      <c r="M326" s="17"/>
      <c r="N326" s="22"/>
      <c r="O326" s="17"/>
      <c r="P326" s="17"/>
      <c r="Q326" s="17"/>
      <c r="R326" s="24"/>
      <c r="S326" s="23"/>
      <c r="T326" s="15" t="s">
        <v>46</v>
      </c>
      <c r="U326" s="17"/>
      <c r="V326" s="15" t="str">
        <f>IF(ISERROR(VLOOKUP(C326,#REF!,8,0)),"",VLOOKUP(C326,#REF!,8,0))</f>
        <v/>
      </c>
    </row>
    <row r="327" spans="1:22" ht="48.75" customHeight="1" x14ac:dyDescent="0.15">
      <c r="A327" s="13">
        <v>561</v>
      </c>
      <c r="B327" s="14"/>
      <c r="C327" s="14"/>
      <c r="D327" s="15" t="str">
        <f>C327&amp;COUNTIF($C$1:C327,C327)</f>
        <v>0</v>
      </c>
      <c r="E327" s="14"/>
      <c r="F327" s="16"/>
      <c r="G327" s="17"/>
      <c r="H327" s="18"/>
      <c r="J327" s="20" t="str">
        <f t="shared" si="12"/>
        <v>0.1.</v>
      </c>
      <c r="K327" s="15" t="str">
        <f t="shared" si="13"/>
        <v>0:00</v>
      </c>
      <c r="L327" s="17"/>
      <c r="M327" s="17"/>
      <c r="N327" s="22"/>
      <c r="O327" s="17"/>
      <c r="P327" s="17"/>
      <c r="Q327" s="17"/>
      <c r="R327" s="24"/>
      <c r="S327" s="23"/>
      <c r="T327" s="15" t="s">
        <v>46</v>
      </c>
      <c r="U327" s="17"/>
      <c r="V327" s="15" t="str">
        <f>IF(ISERROR(VLOOKUP(C327,#REF!,8,0)),"",VLOOKUP(C327,#REF!,8,0))</f>
        <v/>
      </c>
    </row>
    <row r="328" spans="1:22" ht="48.75" customHeight="1" x14ac:dyDescent="0.15">
      <c r="A328" s="13">
        <v>562</v>
      </c>
      <c r="B328" s="14"/>
      <c r="C328" s="14"/>
      <c r="D328" s="15" t="str">
        <f>C328&amp;COUNTIF($C$1:C328,C328)</f>
        <v>0</v>
      </c>
      <c r="E328" s="14"/>
      <c r="F328" s="16"/>
      <c r="G328" s="17"/>
      <c r="H328" s="18"/>
      <c r="J328" s="20" t="str">
        <f t="shared" si="12"/>
        <v>0.1.</v>
      </c>
      <c r="K328" s="15" t="str">
        <f t="shared" si="13"/>
        <v>0:00</v>
      </c>
      <c r="L328" s="17"/>
      <c r="M328" s="17"/>
      <c r="N328" s="22"/>
      <c r="O328" s="17"/>
      <c r="P328" s="17"/>
      <c r="Q328" s="17"/>
      <c r="R328" s="24"/>
      <c r="S328" s="23"/>
      <c r="T328" s="15" t="s">
        <v>46</v>
      </c>
      <c r="U328" s="17"/>
      <c r="V328" s="15" t="str">
        <f>IF(ISERROR(VLOOKUP(C328,#REF!,8,0)),"",VLOOKUP(C328,#REF!,8,0))</f>
        <v/>
      </c>
    </row>
    <row r="329" spans="1:22" ht="48.75" customHeight="1" x14ac:dyDescent="0.15">
      <c r="A329" s="13">
        <v>563</v>
      </c>
      <c r="B329" s="14"/>
      <c r="C329" s="14"/>
      <c r="D329" s="15" t="str">
        <f>C329&amp;COUNTIF($C$1:C329,C329)</f>
        <v>0</v>
      </c>
      <c r="E329" s="14"/>
      <c r="F329" s="16"/>
      <c r="G329" s="17"/>
      <c r="H329" s="18"/>
      <c r="J329" s="20" t="str">
        <f t="shared" si="12"/>
        <v>0.1.</v>
      </c>
      <c r="K329" s="15" t="str">
        <f t="shared" si="13"/>
        <v>0:00</v>
      </c>
      <c r="L329" s="17"/>
      <c r="M329" s="17"/>
      <c r="N329" s="22"/>
      <c r="O329" s="17"/>
      <c r="P329" s="17"/>
      <c r="Q329" s="17"/>
      <c r="R329" s="24"/>
      <c r="S329" s="23"/>
      <c r="T329" s="15" t="s">
        <v>46</v>
      </c>
      <c r="U329" s="17"/>
      <c r="V329" s="15" t="str">
        <f>IF(ISERROR(VLOOKUP(C329,#REF!,8,0)),"",VLOOKUP(C329,#REF!,8,0))</f>
        <v/>
      </c>
    </row>
    <row r="330" spans="1:22" ht="48.75" customHeight="1" x14ac:dyDescent="0.15">
      <c r="A330" s="13">
        <v>564</v>
      </c>
      <c r="B330" s="14"/>
      <c r="C330" s="14"/>
      <c r="D330" s="15" t="str">
        <f>C330&amp;COUNTIF($C$1:C330,C330)</f>
        <v>0</v>
      </c>
      <c r="E330" s="14"/>
      <c r="F330" s="16"/>
      <c r="G330" s="17"/>
      <c r="H330" s="18"/>
      <c r="J330" s="20" t="str">
        <f t="shared" si="12"/>
        <v>0.1.</v>
      </c>
      <c r="K330" s="15" t="str">
        <f t="shared" si="13"/>
        <v>0:00</v>
      </c>
      <c r="L330" s="17"/>
      <c r="M330" s="17"/>
      <c r="N330" s="22"/>
      <c r="O330" s="17"/>
      <c r="P330" s="17"/>
      <c r="Q330" s="17"/>
      <c r="R330" s="24"/>
      <c r="S330" s="23"/>
      <c r="T330" s="15" t="s">
        <v>46</v>
      </c>
      <c r="U330" s="17"/>
      <c r="V330" s="15" t="str">
        <f>IF(ISERROR(VLOOKUP(C330,#REF!,8,0)),"",VLOOKUP(C330,#REF!,8,0))</f>
        <v/>
      </c>
    </row>
    <row r="331" spans="1:22" ht="48.75" customHeight="1" x14ac:dyDescent="0.15">
      <c r="A331" s="13">
        <v>565</v>
      </c>
      <c r="B331" s="14"/>
      <c r="C331" s="14"/>
      <c r="D331" s="15" t="str">
        <f>C331&amp;COUNTIF($C$1:C331,C331)</f>
        <v>0</v>
      </c>
      <c r="E331" s="14"/>
      <c r="F331" s="16"/>
      <c r="G331" s="17"/>
      <c r="H331" s="18"/>
      <c r="J331" s="20" t="str">
        <f t="shared" si="12"/>
        <v>0.1.</v>
      </c>
      <c r="K331" s="15" t="str">
        <f t="shared" si="13"/>
        <v>0:00</v>
      </c>
      <c r="L331" s="17"/>
      <c r="M331" s="17"/>
      <c r="N331" s="22"/>
      <c r="O331" s="17"/>
      <c r="P331" s="17"/>
      <c r="Q331" s="17"/>
      <c r="R331" s="24"/>
      <c r="S331" s="23"/>
      <c r="T331" s="15" t="s">
        <v>46</v>
      </c>
      <c r="U331" s="17"/>
      <c r="V331" s="15" t="str">
        <f>IF(ISERROR(VLOOKUP(C331,#REF!,8,0)),"",VLOOKUP(C331,#REF!,8,0))</f>
        <v/>
      </c>
    </row>
    <row r="332" spans="1:22" ht="48.75" customHeight="1" x14ac:dyDescent="0.15">
      <c r="A332" s="13">
        <v>566</v>
      </c>
      <c r="B332" s="14"/>
      <c r="C332" s="14"/>
      <c r="D332" s="15" t="str">
        <f>C332&amp;COUNTIF($C$1:C332,C332)</f>
        <v>0</v>
      </c>
      <c r="E332" s="14"/>
      <c r="F332" s="16"/>
      <c r="G332" s="17"/>
      <c r="H332" s="18"/>
      <c r="J332" s="20" t="str">
        <f t="shared" si="12"/>
        <v>0.1.</v>
      </c>
      <c r="K332" s="15" t="str">
        <f t="shared" si="13"/>
        <v>0:00</v>
      </c>
      <c r="L332" s="17"/>
      <c r="M332" s="17"/>
      <c r="N332" s="22"/>
      <c r="O332" s="17"/>
      <c r="P332" s="17"/>
      <c r="Q332" s="17"/>
      <c r="R332" s="24"/>
      <c r="S332" s="23"/>
      <c r="T332" s="15" t="s">
        <v>46</v>
      </c>
      <c r="U332" s="17"/>
      <c r="V332" s="15" t="str">
        <f>IF(ISERROR(VLOOKUP(C332,#REF!,8,0)),"",VLOOKUP(C332,#REF!,8,0))</f>
        <v/>
      </c>
    </row>
    <row r="333" spans="1:22" ht="48.75" customHeight="1" x14ac:dyDescent="0.15">
      <c r="A333" s="13">
        <v>567</v>
      </c>
      <c r="B333" s="14"/>
      <c r="C333" s="14"/>
      <c r="D333" s="15" t="str">
        <f>C333&amp;COUNTIF($C$1:C333,C333)</f>
        <v>0</v>
      </c>
      <c r="E333" s="14"/>
      <c r="F333" s="16"/>
      <c r="G333" s="17"/>
      <c r="H333" s="18"/>
      <c r="J333" s="20" t="str">
        <f t="shared" si="12"/>
        <v>0.1.</v>
      </c>
      <c r="K333" s="15" t="str">
        <f t="shared" si="13"/>
        <v>0:00</v>
      </c>
      <c r="L333" s="17"/>
      <c r="M333" s="17"/>
      <c r="N333" s="22"/>
      <c r="O333" s="17"/>
      <c r="P333" s="17"/>
      <c r="Q333" s="17"/>
      <c r="R333" s="24"/>
      <c r="S333" s="23"/>
      <c r="T333" s="15" t="s">
        <v>46</v>
      </c>
      <c r="U333" s="17"/>
      <c r="V333" s="15" t="str">
        <f>IF(ISERROR(VLOOKUP(C333,#REF!,8,0)),"",VLOOKUP(C333,#REF!,8,0))</f>
        <v/>
      </c>
    </row>
    <row r="334" spans="1:22" ht="48.75" customHeight="1" x14ac:dyDescent="0.15">
      <c r="A334" s="13">
        <v>568</v>
      </c>
      <c r="B334" s="14"/>
      <c r="C334" s="14"/>
      <c r="D334" s="15" t="str">
        <f>C334&amp;COUNTIF($C$1:C334,C334)</f>
        <v>0</v>
      </c>
      <c r="E334" s="14"/>
      <c r="F334" s="16"/>
      <c r="G334" s="17"/>
      <c r="H334" s="18"/>
      <c r="J334" s="20" t="str">
        <f t="shared" si="12"/>
        <v>0.1.</v>
      </c>
      <c r="K334" s="15" t="str">
        <f t="shared" si="13"/>
        <v>0:00</v>
      </c>
      <c r="L334" s="17"/>
      <c r="M334" s="17"/>
      <c r="N334" s="22"/>
      <c r="O334" s="17"/>
      <c r="P334" s="17"/>
      <c r="Q334" s="17"/>
      <c r="R334" s="24"/>
      <c r="S334" s="23"/>
      <c r="T334" s="15" t="s">
        <v>46</v>
      </c>
      <c r="U334" s="17"/>
      <c r="V334" s="15" t="str">
        <f>IF(ISERROR(VLOOKUP(C334,#REF!,8,0)),"",VLOOKUP(C334,#REF!,8,0))</f>
        <v/>
      </c>
    </row>
    <row r="335" spans="1:22" ht="48.75" customHeight="1" x14ac:dyDescent="0.15">
      <c r="A335" s="13">
        <v>569</v>
      </c>
      <c r="B335" s="14"/>
      <c r="C335" s="14"/>
      <c r="D335" s="15" t="str">
        <f>C335&amp;COUNTIF($C$1:C335,C335)</f>
        <v>0</v>
      </c>
      <c r="E335" s="14"/>
      <c r="F335" s="16"/>
      <c r="G335" s="17"/>
      <c r="H335" s="18"/>
      <c r="J335" s="20" t="str">
        <f t="shared" si="12"/>
        <v>0.1.</v>
      </c>
      <c r="K335" s="15" t="str">
        <f t="shared" si="13"/>
        <v>0:00</v>
      </c>
      <c r="L335" s="17"/>
      <c r="M335" s="17"/>
      <c r="N335" s="22"/>
      <c r="O335" s="17"/>
      <c r="P335" s="17"/>
      <c r="Q335" s="17"/>
      <c r="R335" s="24"/>
      <c r="S335" s="23"/>
      <c r="T335" s="15" t="s">
        <v>46</v>
      </c>
      <c r="U335" s="17"/>
      <c r="V335" s="15" t="str">
        <f>IF(ISERROR(VLOOKUP(C335,#REF!,8,0)),"",VLOOKUP(C335,#REF!,8,0))</f>
        <v/>
      </c>
    </row>
    <row r="336" spans="1:22" ht="48.75" customHeight="1" x14ac:dyDescent="0.15">
      <c r="A336" s="13">
        <v>570</v>
      </c>
      <c r="B336" s="14"/>
      <c r="C336" s="14"/>
      <c r="D336" s="15" t="str">
        <f>C336&amp;COUNTIF($C$1:C336,C336)</f>
        <v>0</v>
      </c>
      <c r="E336" s="14"/>
      <c r="F336" s="16"/>
      <c r="G336" s="17"/>
      <c r="H336" s="18"/>
      <c r="J336" s="20" t="str">
        <f t="shared" si="12"/>
        <v>0.1.</v>
      </c>
      <c r="K336" s="15" t="str">
        <f t="shared" si="13"/>
        <v>0:00</v>
      </c>
      <c r="L336" s="17"/>
      <c r="M336" s="17"/>
      <c r="N336" s="22"/>
      <c r="O336" s="17"/>
      <c r="P336" s="17"/>
      <c r="Q336" s="17"/>
      <c r="R336" s="24"/>
      <c r="S336" s="23"/>
      <c r="T336" s="15" t="s">
        <v>46</v>
      </c>
      <c r="U336" s="17"/>
      <c r="V336" s="15" t="str">
        <f>IF(ISERROR(VLOOKUP(C336,#REF!,8,0)),"",VLOOKUP(C336,#REF!,8,0))</f>
        <v/>
      </c>
    </row>
    <row r="337" spans="1:22" ht="48.75" customHeight="1" x14ac:dyDescent="0.15">
      <c r="A337" s="13">
        <v>571</v>
      </c>
      <c r="B337" s="14"/>
      <c r="C337" s="14"/>
      <c r="D337" s="15" t="str">
        <f>C337&amp;COUNTIF($C$1:C337,C337)</f>
        <v>0</v>
      </c>
      <c r="E337" s="14"/>
      <c r="F337" s="16"/>
      <c r="G337" s="17"/>
      <c r="H337" s="18"/>
      <c r="J337" s="20" t="str">
        <f t="shared" si="12"/>
        <v>0.1.</v>
      </c>
      <c r="K337" s="15" t="str">
        <f t="shared" si="13"/>
        <v>0:00</v>
      </c>
      <c r="L337" s="17"/>
      <c r="M337" s="17"/>
      <c r="N337" s="22"/>
      <c r="O337" s="17"/>
      <c r="P337" s="17"/>
      <c r="Q337" s="17"/>
      <c r="R337" s="24"/>
      <c r="S337" s="23"/>
      <c r="T337" s="15" t="s">
        <v>46</v>
      </c>
      <c r="U337" s="17"/>
      <c r="V337" s="15" t="str">
        <f>IF(ISERROR(VLOOKUP(C337,#REF!,8,0)),"",VLOOKUP(C337,#REF!,8,0))</f>
        <v/>
      </c>
    </row>
    <row r="338" spans="1:22" ht="48.75" customHeight="1" x14ac:dyDescent="0.15">
      <c r="A338" s="13">
        <v>572</v>
      </c>
      <c r="B338" s="14"/>
      <c r="C338" s="14"/>
      <c r="D338" s="15" t="str">
        <f>C338&amp;COUNTIF($C$1:C338,C338)</f>
        <v>0</v>
      </c>
      <c r="E338" s="14"/>
      <c r="F338" s="16"/>
      <c r="G338" s="17"/>
      <c r="H338" s="18"/>
      <c r="J338" s="20" t="str">
        <f t="shared" si="12"/>
        <v>0.1.</v>
      </c>
      <c r="K338" s="15" t="str">
        <f t="shared" si="13"/>
        <v>0:00</v>
      </c>
      <c r="L338" s="17"/>
      <c r="M338" s="17"/>
      <c r="N338" s="22"/>
      <c r="O338" s="17"/>
      <c r="P338" s="17"/>
      <c r="Q338" s="17"/>
      <c r="R338" s="24"/>
      <c r="S338" s="23"/>
      <c r="T338" s="15" t="s">
        <v>46</v>
      </c>
      <c r="U338" s="17"/>
      <c r="V338" s="15" t="str">
        <f>IF(ISERROR(VLOOKUP(C338,#REF!,8,0)),"",VLOOKUP(C338,#REF!,8,0))</f>
        <v/>
      </c>
    </row>
    <row r="339" spans="1:22" ht="48.75" customHeight="1" x14ac:dyDescent="0.15">
      <c r="A339" s="13">
        <v>573</v>
      </c>
      <c r="B339" s="14"/>
      <c r="C339" s="14"/>
      <c r="D339" s="15" t="str">
        <f>C339&amp;COUNTIF($C$1:C339,C339)</f>
        <v>0</v>
      </c>
      <c r="E339" s="14"/>
      <c r="F339" s="16"/>
      <c r="G339" s="17"/>
      <c r="H339" s="18"/>
      <c r="J339" s="20" t="str">
        <f t="shared" si="12"/>
        <v>0.1.</v>
      </c>
      <c r="K339" s="15" t="str">
        <f t="shared" si="13"/>
        <v>0:00</v>
      </c>
      <c r="L339" s="17"/>
      <c r="M339" s="17"/>
      <c r="N339" s="22"/>
      <c r="O339" s="17"/>
      <c r="P339" s="17"/>
      <c r="Q339" s="17"/>
      <c r="R339" s="24"/>
      <c r="S339" s="23"/>
      <c r="T339" s="15" t="s">
        <v>46</v>
      </c>
      <c r="U339" s="17"/>
      <c r="V339" s="15" t="str">
        <f>IF(ISERROR(VLOOKUP(C339,#REF!,8,0)),"",VLOOKUP(C339,#REF!,8,0))</f>
        <v/>
      </c>
    </row>
    <row r="340" spans="1:22" ht="48.75" customHeight="1" x14ac:dyDescent="0.15">
      <c r="A340" s="13">
        <v>574</v>
      </c>
      <c r="B340" s="14"/>
      <c r="C340" s="14"/>
      <c r="D340" s="15" t="str">
        <f>C340&amp;COUNTIF($C$1:C340,C340)</f>
        <v>0</v>
      </c>
      <c r="E340" s="14"/>
      <c r="F340" s="16"/>
      <c r="G340" s="17"/>
      <c r="H340" s="18"/>
      <c r="J340" s="20" t="str">
        <f t="shared" si="12"/>
        <v>0.1.</v>
      </c>
      <c r="K340" s="15" t="str">
        <f t="shared" si="13"/>
        <v>0:00</v>
      </c>
      <c r="L340" s="17"/>
      <c r="M340" s="17"/>
      <c r="N340" s="22"/>
      <c r="O340" s="17"/>
      <c r="P340" s="17"/>
      <c r="Q340" s="17"/>
      <c r="R340" s="24"/>
      <c r="S340" s="23"/>
      <c r="T340" s="15" t="s">
        <v>46</v>
      </c>
      <c r="U340" s="17"/>
      <c r="V340" s="15" t="str">
        <f>IF(ISERROR(VLOOKUP(C340,#REF!,8,0)),"",VLOOKUP(C340,#REF!,8,0))</f>
        <v/>
      </c>
    </row>
    <row r="341" spans="1:22" ht="48.75" customHeight="1" x14ac:dyDescent="0.15">
      <c r="A341" s="13">
        <v>575</v>
      </c>
      <c r="B341" s="14"/>
      <c r="C341" s="14"/>
      <c r="D341" s="15" t="str">
        <f>C341&amp;COUNTIF($C$1:C341,C341)</f>
        <v>0</v>
      </c>
      <c r="E341" s="14"/>
      <c r="F341" s="16"/>
      <c r="G341" s="17"/>
      <c r="H341" s="18"/>
      <c r="J341" s="20" t="str">
        <f t="shared" si="12"/>
        <v>0.1.</v>
      </c>
      <c r="K341" s="15" t="str">
        <f t="shared" si="13"/>
        <v>0:00</v>
      </c>
      <c r="L341" s="17"/>
      <c r="M341" s="17"/>
      <c r="N341" s="22"/>
      <c r="O341" s="17"/>
      <c r="P341" s="17"/>
      <c r="Q341" s="17"/>
      <c r="R341" s="24"/>
      <c r="S341" s="23"/>
      <c r="T341" s="15" t="s">
        <v>46</v>
      </c>
      <c r="U341" s="17"/>
      <c r="V341" s="15" t="str">
        <f>IF(ISERROR(VLOOKUP(C341,#REF!,8,0)),"",VLOOKUP(C341,#REF!,8,0))</f>
        <v/>
      </c>
    </row>
    <row r="342" spans="1:22" ht="48.75" customHeight="1" x14ac:dyDescent="0.15">
      <c r="A342" s="13">
        <v>576</v>
      </c>
      <c r="B342" s="14"/>
      <c r="C342" s="14"/>
      <c r="D342" s="15" t="str">
        <f>C342&amp;COUNTIF($C$1:C342,C342)</f>
        <v>0</v>
      </c>
      <c r="E342" s="14"/>
      <c r="F342" s="16"/>
      <c r="G342" s="17"/>
      <c r="H342" s="18"/>
      <c r="J342" s="20" t="str">
        <f t="shared" si="12"/>
        <v>0.1.</v>
      </c>
      <c r="K342" s="15" t="str">
        <f t="shared" si="13"/>
        <v>0:00</v>
      </c>
      <c r="L342" s="17"/>
      <c r="M342" s="17"/>
      <c r="N342" s="22"/>
      <c r="O342" s="17"/>
      <c r="P342" s="17"/>
      <c r="Q342" s="17"/>
      <c r="R342" s="24"/>
      <c r="S342" s="23"/>
      <c r="T342" s="15" t="s">
        <v>46</v>
      </c>
      <c r="U342" s="17"/>
      <c r="V342" s="15" t="str">
        <f>IF(ISERROR(VLOOKUP(C342,#REF!,8,0)),"",VLOOKUP(C342,#REF!,8,0))</f>
        <v/>
      </c>
    </row>
    <row r="343" spans="1:22" ht="48.75" customHeight="1" x14ac:dyDescent="0.15">
      <c r="A343" s="13">
        <v>577</v>
      </c>
      <c r="B343" s="14"/>
      <c r="C343" s="14"/>
      <c r="D343" s="15" t="str">
        <f>C343&amp;COUNTIF($C$1:C343,C343)</f>
        <v>0</v>
      </c>
      <c r="E343" s="14"/>
      <c r="F343" s="16"/>
      <c r="G343" s="17"/>
      <c r="H343" s="18"/>
      <c r="J343" s="20" t="str">
        <f t="shared" si="12"/>
        <v>0.1.</v>
      </c>
      <c r="K343" s="15" t="str">
        <f t="shared" si="13"/>
        <v>0:00</v>
      </c>
      <c r="L343" s="17"/>
      <c r="M343" s="17"/>
      <c r="N343" s="22"/>
      <c r="O343" s="17"/>
      <c r="P343" s="17"/>
      <c r="Q343" s="17"/>
      <c r="R343" s="24"/>
      <c r="S343" s="23"/>
      <c r="T343" s="15" t="s">
        <v>46</v>
      </c>
      <c r="U343" s="17"/>
      <c r="V343" s="15" t="str">
        <f>IF(ISERROR(VLOOKUP(C343,#REF!,8,0)),"",VLOOKUP(C343,#REF!,8,0))</f>
        <v/>
      </c>
    </row>
    <row r="344" spans="1:22" ht="48.75" customHeight="1" x14ac:dyDescent="0.15">
      <c r="A344" s="13">
        <v>578</v>
      </c>
      <c r="B344" s="14"/>
      <c r="C344" s="14"/>
      <c r="D344" s="15" t="str">
        <f>C344&amp;COUNTIF($C$1:C344,C344)</f>
        <v>0</v>
      </c>
      <c r="E344" s="14"/>
      <c r="F344" s="16"/>
      <c r="G344" s="17"/>
      <c r="H344" s="18"/>
      <c r="J344" s="20" t="str">
        <f t="shared" si="12"/>
        <v>0.1.</v>
      </c>
      <c r="K344" s="15" t="str">
        <f t="shared" si="13"/>
        <v>0:00</v>
      </c>
      <c r="L344" s="17"/>
      <c r="M344" s="17"/>
      <c r="N344" s="22"/>
      <c r="O344" s="17"/>
      <c r="P344" s="17"/>
      <c r="Q344" s="17"/>
      <c r="R344" s="24"/>
      <c r="S344" s="23"/>
      <c r="T344" s="15" t="s">
        <v>46</v>
      </c>
      <c r="U344" s="17"/>
      <c r="V344" s="15" t="str">
        <f>IF(ISERROR(VLOOKUP(C344,#REF!,8,0)),"",VLOOKUP(C344,#REF!,8,0))</f>
        <v/>
      </c>
    </row>
    <row r="345" spans="1:22" ht="48.75" customHeight="1" x14ac:dyDescent="0.15">
      <c r="A345" s="13">
        <v>579</v>
      </c>
      <c r="B345" s="14"/>
      <c r="C345" s="14"/>
      <c r="D345" s="15" t="str">
        <f>C345&amp;COUNTIF($C$1:C345,C345)</f>
        <v>0</v>
      </c>
      <c r="E345" s="14"/>
      <c r="F345" s="16"/>
      <c r="G345" s="17"/>
      <c r="H345" s="18"/>
      <c r="J345" s="20" t="str">
        <f t="shared" si="12"/>
        <v>0.1.</v>
      </c>
      <c r="K345" s="15" t="str">
        <f t="shared" si="13"/>
        <v>0:00</v>
      </c>
      <c r="L345" s="17"/>
      <c r="M345" s="17"/>
      <c r="N345" s="22"/>
      <c r="O345" s="17"/>
      <c r="P345" s="17"/>
      <c r="Q345" s="17"/>
      <c r="R345" s="24"/>
      <c r="S345" s="23"/>
      <c r="T345" s="15" t="s">
        <v>46</v>
      </c>
      <c r="U345" s="17"/>
      <c r="V345" s="15" t="str">
        <f>IF(ISERROR(VLOOKUP(C345,#REF!,8,0)),"",VLOOKUP(C345,#REF!,8,0))</f>
        <v/>
      </c>
    </row>
    <row r="346" spans="1:22" ht="48.75" customHeight="1" x14ac:dyDescent="0.15">
      <c r="A346" s="13">
        <v>580</v>
      </c>
      <c r="B346" s="14"/>
      <c r="C346" s="14"/>
      <c r="D346" s="15" t="str">
        <f>C346&amp;COUNTIF($C$1:C346,C346)</f>
        <v>0</v>
      </c>
      <c r="E346" s="14"/>
      <c r="F346" s="16"/>
      <c r="G346" s="17"/>
      <c r="H346" s="18"/>
      <c r="J346" s="20" t="str">
        <f t="shared" si="12"/>
        <v>0.1.</v>
      </c>
      <c r="K346" s="15" t="str">
        <f t="shared" si="13"/>
        <v>0:00</v>
      </c>
      <c r="L346" s="17"/>
      <c r="M346" s="17"/>
      <c r="N346" s="22"/>
      <c r="O346" s="17"/>
      <c r="P346" s="17"/>
      <c r="Q346" s="17"/>
      <c r="R346" s="24"/>
      <c r="S346" s="23"/>
      <c r="T346" s="15" t="s">
        <v>46</v>
      </c>
      <c r="U346" s="17"/>
      <c r="V346" s="15" t="str">
        <f>IF(ISERROR(VLOOKUP(C346,#REF!,8,0)),"",VLOOKUP(C346,#REF!,8,0))</f>
        <v/>
      </c>
    </row>
    <row r="347" spans="1:22" ht="48.75" customHeight="1" x14ac:dyDescent="0.15">
      <c r="A347" s="13">
        <v>581</v>
      </c>
      <c r="B347" s="14"/>
      <c r="C347" s="14"/>
      <c r="D347" s="15" t="str">
        <f>C347&amp;COUNTIF($C$1:C347,C347)</f>
        <v>0</v>
      </c>
      <c r="E347" s="14"/>
      <c r="F347" s="16"/>
      <c r="G347" s="17"/>
      <c r="H347" s="18"/>
      <c r="J347" s="20" t="str">
        <f t="shared" si="12"/>
        <v>0.1.</v>
      </c>
      <c r="K347" s="15" t="str">
        <f t="shared" si="13"/>
        <v>0:00</v>
      </c>
      <c r="L347" s="17"/>
      <c r="M347" s="17"/>
      <c r="N347" s="22"/>
      <c r="O347" s="17"/>
      <c r="P347" s="17"/>
      <c r="Q347" s="17"/>
      <c r="R347" s="24"/>
      <c r="S347" s="23"/>
      <c r="T347" s="15" t="s">
        <v>46</v>
      </c>
      <c r="U347" s="17"/>
      <c r="V347" s="15" t="str">
        <f>IF(ISERROR(VLOOKUP(C347,#REF!,8,0)),"",VLOOKUP(C347,#REF!,8,0))</f>
        <v/>
      </c>
    </row>
    <row r="348" spans="1:22" ht="48.75" customHeight="1" x14ac:dyDescent="0.15">
      <c r="A348" s="13">
        <v>582</v>
      </c>
      <c r="B348" s="14"/>
      <c r="C348" s="14"/>
      <c r="D348" s="15" t="str">
        <f>C348&amp;COUNTIF($C$1:C348,C348)</f>
        <v>0</v>
      </c>
      <c r="E348" s="14"/>
      <c r="F348" s="16"/>
      <c r="G348" s="17"/>
      <c r="H348" s="18"/>
      <c r="J348" s="20" t="str">
        <f t="shared" si="12"/>
        <v>0.1.</v>
      </c>
      <c r="K348" s="15" t="str">
        <f t="shared" si="13"/>
        <v>0:00</v>
      </c>
      <c r="L348" s="17"/>
      <c r="M348" s="17"/>
      <c r="N348" s="22"/>
      <c r="O348" s="17"/>
      <c r="P348" s="17"/>
      <c r="Q348" s="17"/>
      <c r="R348" s="24"/>
      <c r="S348" s="23"/>
      <c r="T348" s="15" t="s">
        <v>46</v>
      </c>
      <c r="U348" s="17"/>
      <c r="V348" s="15" t="str">
        <f>IF(ISERROR(VLOOKUP(C348,#REF!,8,0)),"",VLOOKUP(C348,#REF!,8,0))</f>
        <v/>
      </c>
    </row>
    <row r="349" spans="1:22" ht="48.75" customHeight="1" x14ac:dyDescent="0.15">
      <c r="A349" s="13">
        <v>583</v>
      </c>
      <c r="B349" s="14"/>
      <c r="C349" s="14"/>
      <c r="D349" s="15" t="str">
        <f>C349&amp;COUNTIF($C$1:C349,C349)</f>
        <v>0</v>
      </c>
      <c r="E349" s="14"/>
      <c r="F349" s="16"/>
      <c r="G349" s="17"/>
      <c r="H349" s="18"/>
      <c r="J349" s="20" t="str">
        <f t="shared" si="12"/>
        <v>0.1.</v>
      </c>
      <c r="K349" s="15" t="str">
        <f t="shared" si="13"/>
        <v>0:00</v>
      </c>
      <c r="L349" s="17"/>
      <c r="M349" s="17"/>
      <c r="N349" s="22"/>
      <c r="O349" s="17"/>
      <c r="P349" s="17"/>
      <c r="Q349" s="17"/>
      <c r="R349" s="24"/>
      <c r="S349" s="23"/>
      <c r="T349" s="15" t="s">
        <v>46</v>
      </c>
      <c r="U349" s="17"/>
      <c r="V349" s="15" t="str">
        <f>IF(ISERROR(VLOOKUP(C349,#REF!,8,0)),"",VLOOKUP(C349,#REF!,8,0))</f>
        <v/>
      </c>
    </row>
    <row r="350" spans="1:22" ht="48.75" customHeight="1" x14ac:dyDescent="0.15">
      <c r="A350" s="13">
        <v>584</v>
      </c>
      <c r="B350" s="14"/>
      <c r="C350" s="14"/>
      <c r="D350" s="15" t="str">
        <f>C350&amp;COUNTIF($C$1:C350,C350)</f>
        <v>0</v>
      </c>
      <c r="E350" s="14"/>
      <c r="F350" s="16"/>
      <c r="G350" s="17"/>
      <c r="H350" s="18"/>
      <c r="J350" s="20" t="str">
        <f t="shared" si="12"/>
        <v>0.1.</v>
      </c>
      <c r="K350" s="15" t="str">
        <f t="shared" si="13"/>
        <v>0:00</v>
      </c>
      <c r="L350" s="17"/>
      <c r="M350" s="17"/>
      <c r="N350" s="22"/>
      <c r="O350" s="17"/>
      <c r="P350" s="17"/>
      <c r="Q350" s="17"/>
      <c r="R350" s="24"/>
      <c r="S350" s="23"/>
      <c r="T350" s="15" t="s">
        <v>46</v>
      </c>
      <c r="U350" s="17"/>
      <c r="V350" s="15" t="str">
        <f>IF(ISERROR(VLOOKUP(C350,#REF!,8,0)),"",VLOOKUP(C350,#REF!,8,0))</f>
        <v/>
      </c>
    </row>
    <row r="351" spans="1:22" ht="48.75" customHeight="1" x14ac:dyDescent="0.15">
      <c r="A351" s="13">
        <v>585</v>
      </c>
      <c r="B351" s="14"/>
      <c r="C351" s="14"/>
      <c r="D351" s="15" t="str">
        <f>C351&amp;COUNTIF($C$1:C351,C351)</f>
        <v>0</v>
      </c>
      <c r="E351" s="14"/>
      <c r="F351" s="16"/>
      <c r="G351" s="17"/>
      <c r="H351" s="18"/>
      <c r="J351" s="20" t="str">
        <f t="shared" si="12"/>
        <v>0.1.</v>
      </c>
      <c r="K351" s="15" t="str">
        <f t="shared" si="13"/>
        <v>0:00</v>
      </c>
      <c r="L351" s="17"/>
      <c r="M351" s="17"/>
      <c r="N351" s="22"/>
      <c r="O351" s="17"/>
      <c r="P351" s="17"/>
      <c r="Q351" s="17"/>
      <c r="R351" s="24"/>
      <c r="S351" s="23"/>
      <c r="T351" s="15" t="s">
        <v>46</v>
      </c>
      <c r="U351" s="17"/>
      <c r="V351" s="15" t="str">
        <f>IF(ISERROR(VLOOKUP(C351,#REF!,8,0)),"",VLOOKUP(C351,#REF!,8,0))</f>
        <v/>
      </c>
    </row>
    <row r="352" spans="1:22" ht="48.75" customHeight="1" x14ac:dyDescent="0.15">
      <c r="A352" s="13">
        <v>586</v>
      </c>
      <c r="B352" s="14"/>
      <c r="C352" s="14"/>
      <c r="D352" s="15" t="str">
        <f>C352&amp;COUNTIF($C$1:C352,C352)</f>
        <v>0</v>
      </c>
      <c r="E352" s="14"/>
      <c r="F352" s="16"/>
      <c r="G352" s="17"/>
      <c r="H352" s="18"/>
      <c r="J352" s="20" t="str">
        <f t="shared" si="12"/>
        <v>0.1.</v>
      </c>
      <c r="K352" s="15" t="str">
        <f t="shared" si="13"/>
        <v>0:00</v>
      </c>
      <c r="L352" s="17"/>
      <c r="M352" s="17"/>
      <c r="N352" s="22"/>
      <c r="O352" s="17"/>
      <c r="P352" s="17"/>
      <c r="Q352" s="17"/>
      <c r="R352" s="24"/>
      <c r="S352" s="23"/>
      <c r="T352" s="15" t="s">
        <v>46</v>
      </c>
      <c r="U352" s="17"/>
      <c r="V352" s="15" t="str">
        <f>IF(ISERROR(VLOOKUP(C352,#REF!,8,0)),"",VLOOKUP(C352,#REF!,8,0))</f>
        <v/>
      </c>
    </row>
    <row r="353" spans="1:22" ht="48.75" customHeight="1" x14ac:dyDescent="0.15">
      <c r="A353" s="13">
        <v>587</v>
      </c>
      <c r="B353" s="14"/>
      <c r="C353" s="14"/>
      <c r="D353" s="15" t="str">
        <f>C353&amp;COUNTIF($C$1:C353,C353)</f>
        <v>0</v>
      </c>
      <c r="E353" s="14"/>
      <c r="F353" s="16"/>
      <c r="G353" s="17"/>
      <c r="H353" s="18"/>
      <c r="J353" s="20" t="str">
        <f t="shared" si="12"/>
        <v>0.1.</v>
      </c>
      <c r="K353" s="15" t="str">
        <f t="shared" si="13"/>
        <v>0:00</v>
      </c>
      <c r="L353" s="17"/>
      <c r="M353" s="17"/>
      <c r="N353" s="22"/>
      <c r="O353" s="17"/>
      <c r="P353" s="17"/>
      <c r="Q353" s="17"/>
      <c r="R353" s="24"/>
      <c r="S353" s="23"/>
      <c r="T353" s="15" t="s">
        <v>46</v>
      </c>
      <c r="U353" s="17"/>
      <c r="V353" s="15" t="str">
        <f>IF(ISERROR(VLOOKUP(C353,#REF!,8,0)),"",VLOOKUP(C353,#REF!,8,0))</f>
        <v/>
      </c>
    </row>
    <row r="354" spans="1:22" ht="48.75" customHeight="1" x14ac:dyDescent="0.15">
      <c r="A354" s="13">
        <v>588</v>
      </c>
      <c r="B354" s="14"/>
      <c r="C354" s="14"/>
      <c r="D354" s="15" t="str">
        <f>C354&amp;COUNTIF($C$1:C354,C354)</f>
        <v>0</v>
      </c>
      <c r="E354" s="14"/>
      <c r="F354" s="16"/>
      <c r="G354" s="17"/>
      <c r="H354" s="18"/>
      <c r="J354" s="20" t="str">
        <f t="shared" si="12"/>
        <v>0.1.</v>
      </c>
      <c r="K354" s="15" t="str">
        <f t="shared" si="13"/>
        <v>0:00</v>
      </c>
      <c r="L354" s="17"/>
      <c r="M354" s="17"/>
      <c r="N354" s="22"/>
      <c r="O354" s="17"/>
      <c r="P354" s="17"/>
      <c r="Q354" s="17"/>
      <c r="R354" s="24"/>
      <c r="S354" s="23"/>
      <c r="T354" s="15" t="s">
        <v>46</v>
      </c>
      <c r="U354" s="17"/>
      <c r="V354" s="15" t="str">
        <f>IF(ISERROR(VLOOKUP(C354,#REF!,8,0)),"",VLOOKUP(C354,#REF!,8,0))</f>
        <v/>
      </c>
    </row>
    <row r="355" spans="1:22" ht="48.75" customHeight="1" x14ac:dyDescent="0.15">
      <c r="A355" s="13">
        <v>589</v>
      </c>
      <c r="B355" s="14"/>
      <c r="C355" s="14"/>
      <c r="D355" s="15" t="str">
        <f>C355&amp;COUNTIF($C$1:C355,C355)</f>
        <v>0</v>
      </c>
      <c r="E355" s="14"/>
      <c r="F355" s="16"/>
      <c r="G355" s="17"/>
      <c r="H355" s="18"/>
      <c r="J355" s="20" t="str">
        <f t="shared" si="12"/>
        <v>0.1.</v>
      </c>
      <c r="K355" s="15" t="str">
        <f t="shared" si="13"/>
        <v>0:00</v>
      </c>
      <c r="L355" s="17"/>
      <c r="M355" s="17"/>
      <c r="N355" s="22"/>
      <c r="O355" s="17"/>
      <c r="P355" s="17"/>
      <c r="Q355" s="17"/>
      <c r="R355" s="24"/>
      <c r="S355" s="23"/>
      <c r="T355" s="15" t="s">
        <v>46</v>
      </c>
      <c r="U355" s="17"/>
      <c r="V355" s="15" t="str">
        <f>IF(ISERROR(VLOOKUP(C355,#REF!,8,0)),"",VLOOKUP(C355,#REF!,8,0))</f>
        <v/>
      </c>
    </row>
    <row r="356" spans="1:22" ht="48.75" customHeight="1" x14ac:dyDescent="0.15">
      <c r="A356" s="13">
        <v>590</v>
      </c>
      <c r="B356" s="14"/>
      <c r="C356" s="14"/>
      <c r="D356" s="15" t="str">
        <f>C356&amp;COUNTIF($C$1:C356,C356)</f>
        <v>0</v>
      </c>
      <c r="E356" s="14"/>
      <c r="F356" s="16"/>
      <c r="G356" s="17"/>
      <c r="H356" s="18"/>
      <c r="J356" s="20" t="str">
        <f t="shared" si="12"/>
        <v>0.1.</v>
      </c>
      <c r="K356" s="15" t="str">
        <f t="shared" si="13"/>
        <v>0:00</v>
      </c>
      <c r="L356" s="17"/>
      <c r="M356" s="17"/>
      <c r="N356" s="22"/>
      <c r="O356" s="17"/>
      <c r="P356" s="17"/>
      <c r="Q356" s="17"/>
      <c r="R356" s="24"/>
      <c r="S356" s="23"/>
      <c r="T356" s="15" t="s">
        <v>46</v>
      </c>
      <c r="U356" s="17"/>
      <c r="V356" s="15" t="str">
        <f>IF(ISERROR(VLOOKUP(C356,#REF!,8,0)),"",VLOOKUP(C356,#REF!,8,0))</f>
        <v/>
      </c>
    </row>
    <row r="357" spans="1:22" ht="48.75" customHeight="1" x14ac:dyDescent="0.15">
      <c r="A357" s="13">
        <v>591</v>
      </c>
      <c r="B357" s="14"/>
      <c r="C357" s="14"/>
      <c r="D357" s="15" t="str">
        <f>C357&amp;COUNTIF($C$1:C357,C357)</f>
        <v>0</v>
      </c>
      <c r="E357" s="14"/>
      <c r="F357" s="16"/>
      <c r="G357" s="17"/>
      <c r="H357" s="18"/>
      <c r="J357" s="20" t="str">
        <f t="shared" si="12"/>
        <v>0.1.</v>
      </c>
      <c r="K357" s="15" t="str">
        <f t="shared" si="13"/>
        <v>0:00</v>
      </c>
      <c r="L357" s="17"/>
      <c r="M357" s="17"/>
      <c r="N357" s="22"/>
      <c r="O357" s="17"/>
      <c r="P357" s="17"/>
      <c r="Q357" s="17"/>
      <c r="R357" s="24"/>
      <c r="S357" s="23"/>
      <c r="T357" s="15" t="s">
        <v>46</v>
      </c>
      <c r="U357" s="17"/>
      <c r="V357" s="15" t="str">
        <f>IF(ISERROR(VLOOKUP(C357,#REF!,8,0)),"",VLOOKUP(C357,#REF!,8,0))</f>
        <v/>
      </c>
    </row>
    <row r="358" spans="1:22" ht="48.75" customHeight="1" x14ac:dyDescent="0.15">
      <c r="A358" s="13">
        <v>592</v>
      </c>
      <c r="B358" s="14"/>
      <c r="C358" s="14"/>
      <c r="D358" s="15" t="str">
        <f>C358&amp;COUNTIF($C$1:C358,C358)</f>
        <v>0</v>
      </c>
      <c r="E358" s="14"/>
      <c r="F358" s="16"/>
      <c r="G358" s="17"/>
      <c r="H358" s="18"/>
      <c r="J358" s="20" t="str">
        <f t="shared" si="12"/>
        <v>0.1.</v>
      </c>
      <c r="K358" s="15" t="str">
        <f t="shared" si="13"/>
        <v>0:00</v>
      </c>
      <c r="L358" s="17"/>
      <c r="M358" s="17"/>
      <c r="N358" s="22"/>
      <c r="O358" s="17"/>
      <c r="P358" s="17"/>
      <c r="Q358" s="17"/>
      <c r="R358" s="24"/>
      <c r="S358" s="23"/>
      <c r="T358" s="15" t="s">
        <v>46</v>
      </c>
      <c r="U358" s="17"/>
      <c r="V358" s="15" t="str">
        <f>IF(ISERROR(VLOOKUP(C358,#REF!,8,0)),"",VLOOKUP(C358,#REF!,8,0))</f>
        <v/>
      </c>
    </row>
    <row r="359" spans="1:22" ht="48.75" customHeight="1" x14ac:dyDescent="0.15">
      <c r="A359" s="13">
        <v>593</v>
      </c>
      <c r="B359" s="14"/>
      <c r="C359" s="14"/>
      <c r="D359" s="15" t="str">
        <f>C359&amp;COUNTIF($C$1:C359,C359)</f>
        <v>0</v>
      </c>
      <c r="E359" s="14"/>
      <c r="F359" s="16"/>
      <c r="G359" s="17"/>
      <c r="H359" s="18"/>
      <c r="J359" s="20" t="str">
        <f t="shared" si="12"/>
        <v>0.1.</v>
      </c>
      <c r="K359" s="15" t="str">
        <f t="shared" si="13"/>
        <v>0:00</v>
      </c>
      <c r="L359" s="17"/>
      <c r="M359" s="17"/>
      <c r="N359" s="22"/>
      <c r="O359" s="17"/>
      <c r="P359" s="17"/>
      <c r="Q359" s="17"/>
      <c r="R359" s="24"/>
      <c r="S359" s="23"/>
      <c r="T359" s="15" t="s">
        <v>46</v>
      </c>
      <c r="U359" s="17"/>
      <c r="V359" s="15" t="str">
        <f>IF(ISERROR(VLOOKUP(C359,#REF!,8,0)),"",VLOOKUP(C359,#REF!,8,0))</f>
        <v/>
      </c>
    </row>
    <row r="360" spans="1:22" ht="48.75" customHeight="1" x14ac:dyDescent="0.15">
      <c r="A360" s="13">
        <v>594</v>
      </c>
      <c r="B360" s="14"/>
      <c r="C360" s="14"/>
      <c r="D360" s="15" t="str">
        <f>C360&amp;COUNTIF($C$1:C360,C360)</f>
        <v>0</v>
      </c>
      <c r="E360" s="14"/>
      <c r="F360" s="16"/>
      <c r="G360" s="17"/>
      <c r="H360" s="18"/>
      <c r="J360" s="20" t="str">
        <f t="shared" si="12"/>
        <v>0.1.</v>
      </c>
      <c r="K360" s="15" t="str">
        <f t="shared" si="13"/>
        <v>0:00</v>
      </c>
      <c r="L360" s="17"/>
      <c r="M360" s="17"/>
      <c r="N360" s="22"/>
      <c r="O360" s="17"/>
      <c r="P360" s="17"/>
      <c r="Q360" s="17"/>
      <c r="R360" s="24"/>
      <c r="S360" s="23"/>
      <c r="T360" s="15" t="s">
        <v>46</v>
      </c>
      <c r="U360" s="17"/>
      <c r="V360" s="15" t="str">
        <f>IF(ISERROR(VLOOKUP(C360,#REF!,8,0)),"",VLOOKUP(C360,#REF!,8,0))</f>
        <v/>
      </c>
    </row>
    <row r="361" spans="1:22" ht="48.75" customHeight="1" x14ac:dyDescent="0.15">
      <c r="A361" s="13">
        <v>595</v>
      </c>
      <c r="B361" s="14"/>
      <c r="C361" s="14"/>
      <c r="D361" s="15" t="str">
        <f>C361&amp;COUNTIF($C$1:C361,C361)</f>
        <v>0</v>
      </c>
      <c r="E361" s="14"/>
      <c r="F361" s="16"/>
      <c r="G361" s="17"/>
      <c r="H361" s="18"/>
      <c r="J361" s="20" t="str">
        <f t="shared" si="12"/>
        <v>0.1.</v>
      </c>
      <c r="K361" s="15" t="str">
        <f t="shared" si="13"/>
        <v>0:00</v>
      </c>
      <c r="L361" s="17"/>
      <c r="M361" s="17"/>
      <c r="N361" s="22"/>
      <c r="O361" s="17"/>
      <c r="P361" s="17"/>
      <c r="Q361" s="17"/>
      <c r="R361" s="24"/>
      <c r="S361" s="23"/>
      <c r="T361" s="15" t="s">
        <v>46</v>
      </c>
      <c r="U361" s="17"/>
      <c r="V361" s="15" t="str">
        <f>IF(ISERROR(VLOOKUP(C361,#REF!,8,0)),"",VLOOKUP(C361,#REF!,8,0))</f>
        <v/>
      </c>
    </row>
    <row r="362" spans="1:22" ht="48.75" customHeight="1" x14ac:dyDescent="0.15">
      <c r="A362" s="13">
        <v>596</v>
      </c>
      <c r="B362" s="14"/>
      <c r="C362" s="14"/>
      <c r="D362" s="15" t="str">
        <f>C362&amp;COUNTIF($C$1:C362,C362)</f>
        <v>0</v>
      </c>
      <c r="E362" s="14"/>
      <c r="F362" s="16"/>
      <c r="G362" s="17"/>
      <c r="H362" s="18"/>
      <c r="J362" s="20" t="str">
        <f t="shared" si="12"/>
        <v>0.1.</v>
      </c>
      <c r="K362" s="15" t="str">
        <f t="shared" si="13"/>
        <v>0:00</v>
      </c>
      <c r="L362" s="17"/>
      <c r="M362" s="17"/>
      <c r="N362" s="22"/>
      <c r="O362" s="17"/>
      <c r="P362" s="17"/>
      <c r="Q362" s="17"/>
      <c r="R362" s="24"/>
      <c r="S362" s="23"/>
      <c r="T362" s="15" t="s">
        <v>46</v>
      </c>
      <c r="U362" s="17"/>
      <c r="V362" s="15" t="str">
        <f>IF(ISERROR(VLOOKUP(C362,#REF!,8,0)),"",VLOOKUP(C362,#REF!,8,0))</f>
        <v/>
      </c>
    </row>
    <row r="363" spans="1:22" ht="48.75" customHeight="1" x14ac:dyDescent="0.15">
      <c r="A363" s="13">
        <v>597</v>
      </c>
      <c r="B363" s="14"/>
      <c r="C363" s="14"/>
      <c r="D363" s="15" t="str">
        <f>C363&amp;COUNTIF($C$1:C363,C363)</f>
        <v>0</v>
      </c>
      <c r="E363" s="14"/>
      <c r="F363" s="16"/>
      <c r="G363" s="17"/>
      <c r="H363" s="18"/>
      <c r="J363" s="20" t="str">
        <f t="shared" si="12"/>
        <v>0.1.</v>
      </c>
      <c r="K363" s="15" t="str">
        <f t="shared" si="13"/>
        <v>0:00</v>
      </c>
      <c r="L363" s="17"/>
      <c r="M363" s="17"/>
      <c r="N363" s="22"/>
      <c r="O363" s="17"/>
      <c r="P363" s="17"/>
      <c r="Q363" s="17"/>
      <c r="R363" s="24"/>
      <c r="S363" s="23"/>
      <c r="T363" s="15" t="s">
        <v>46</v>
      </c>
      <c r="U363" s="17"/>
      <c r="V363" s="15" t="str">
        <f>IF(ISERROR(VLOOKUP(C363,#REF!,8,0)),"",VLOOKUP(C363,#REF!,8,0))</f>
        <v/>
      </c>
    </row>
    <row r="364" spans="1:22" ht="48.75" customHeight="1" x14ac:dyDescent="0.15">
      <c r="A364" s="13">
        <v>598</v>
      </c>
      <c r="B364" s="14"/>
      <c r="C364" s="14"/>
      <c r="D364" s="15" t="str">
        <f>C364&amp;COUNTIF($C$1:C364,C364)</f>
        <v>0</v>
      </c>
      <c r="E364" s="14"/>
      <c r="F364" s="16"/>
      <c r="G364" s="17"/>
      <c r="H364" s="18"/>
      <c r="J364" s="20" t="str">
        <f t="shared" si="12"/>
        <v>0.1.</v>
      </c>
      <c r="K364" s="15" t="str">
        <f t="shared" si="13"/>
        <v>0:00</v>
      </c>
      <c r="L364" s="17"/>
      <c r="M364" s="17"/>
      <c r="N364" s="22"/>
      <c r="O364" s="17"/>
      <c r="P364" s="17"/>
      <c r="Q364" s="17"/>
      <c r="R364" s="24"/>
      <c r="S364" s="23"/>
      <c r="T364" s="15" t="s">
        <v>46</v>
      </c>
      <c r="U364" s="17"/>
      <c r="V364" s="15" t="str">
        <f>IF(ISERROR(VLOOKUP(C364,#REF!,8,0)),"",VLOOKUP(C364,#REF!,8,0))</f>
        <v/>
      </c>
    </row>
    <row r="365" spans="1:22" ht="48.75" customHeight="1" x14ac:dyDescent="0.15">
      <c r="A365" s="13">
        <v>599</v>
      </c>
      <c r="B365" s="14"/>
      <c r="C365" s="14"/>
      <c r="D365" s="15" t="str">
        <f>C365&amp;COUNTIF($C$1:C365,C365)</f>
        <v>0</v>
      </c>
      <c r="E365" s="14"/>
      <c r="F365" s="16"/>
      <c r="G365" s="17"/>
      <c r="H365" s="18"/>
      <c r="J365" s="20" t="str">
        <f t="shared" si="12"/>
        <v>0.1.</v>
      </c>
      <c r="K365" s="15" t="str">
        <f t="shared" si="13"/>
        <v>0:00</v>
      </c>
      <c r="L365" s="17"/>
      <c r="M365" s="17"/>
      <c r="N365" s="22"/>
      <c r="O365" s="17"/>
      <c r="P365" s="17"/>
      <c r="Q365" s="17"/>
      <c r="R365" s="24"/>
      <c r="S365" s="23"/>
      <c r="T365" s="15" t="s">
        <v>46</v>
      </c>
      <c r="U365" s="17"/>
      <c r="V365" s="15" t="str">
        <f>IF(ISERROR(VLOOKUP(C365,#REF!,8,0)),"",VLOOKUP(C365,#REF!,8,0))</f>
        <v/>
      </c>
    </row>
    <row r="366" spans="1:22" ht="48.75" customHeight="1" x14ac:dyDescent="0.15">
      <c r="B366" s="14"/>
      <c r="C366" s="14"/>
      <c r="D366" s="15" t="str">
        <f>C366&amp;COUNTIF($C$1:C366,C366)</f>
        <v>0</v>
      </c>
      <c r="E366" s="14"/>
      <c r="F366" s="16"/>
      <c r="G366" s="17"/>
      <c r="H366" s="18"/>
      <c r="J366" s="20" t="str">
        <f t="shared" si="12"/>
        <v>0.1.</v>
      </c>
      <c r="K366" s="15" t="str">
        <f t="shared" si="13"/>
        <v>0:00</v>
      </c>
      <c r="L366" s="17"/>
      <c r="M366" s="17"/>
      <c r="N366" s="22"/>
      <c r="O366" s="17"/>
      <c r="P366" s="17"/>
      <c r="Q366" s="17"/>
      <c r="R366" s="16"/>
      <c r="S366" s="23"/>
    </row>
    <row r="367" spans="1:22" ht="48.75" customHeight="1" x14ac:dyDescent="0.15">
      <c r="C367" s="14"/>
      <c r="E367" s="14"/>
      <c r="Q367" s="17"/>
    </row>
  </sheetData>
  <sheetProtection formatCells="0" formatColumns="0" formatRows="0" autoFilter="0"/>
  <autoFilter ref="A1:V367">
    <sortState ref="A2:V367">
      <sortCondition ref="H1:H367"/>
    </sortState>
  </autoFilter>
  <conditionalFormatting sqref="A2:A11 T2:T11 K2:K11 D2:D11 V2:V11 V17:V365 D17:D366 K17:K366 T17:T365 A17:A365">
    <cfRule type="cellIs" dxfId="14" priority="27" operator="equal">
      <formula>"nom groupe n'existe pas"</formula>
    </cfRule>
  </conditionalFormatting>
  <conditionalFormatting sqref="A366 T366:U366 A367:U1048576 D366 J366:K366 A1:U1 A3:K4 U2:U5 N2:T2 M3:P3 A5:T5 A2:L2 V1:XFD11 V17:XFD1048576 A17:U365 S3:T4 A10:U11 A9:R9 T9:U9 S12 T15:XFD15 S16 A13:XFD13 A14:P14 S14:XFD14 A15:R15 A6:U8">
    <cfRule type="containsText" dxfId="13" priority="26" operator="containsText" text="TBC">
      <formula>NOT(ISERROR(SEARCH("TBC",A1)))</formula>
    </cfRule>
  </conditionalFormatting>
  <conditionalFormatting sqref="D366 K366">
    <cfRule type="cellIs" dxfId="12" priority="25" operator="equal">
      <formula>"nom groupe n'existe pas"</formula>
    </cfRule>
  </conditionalFormatting>
  <conditionalFormatting sqref="B366:S366">
    <cfRule type="containsText" dxfId="11" priority="24" operator="containsText" text="TBC">
      <formula>NOT(ISERROR(SEARCH("TBC",B366)))</formula>
    </cfRule>
  </conditionalFormatting>
  <conditionalFormatting sqref="M2">
    <cfRule type="containsText" dxfId="10" priority="20" operator="containsText" text="TBC">
      <formula>NOT(ISERROR(SEARCH("TBC",M2)))</formula>
    </cfRule>
  </conditionalFormatting>
  <conditionalFormatting sqref="L3">
    <cfRule type="containsText" dxfId="9" priority="19" operator="containsText" text="TBC">
      <formula>NOT(ISERROR(SEARCH("TBC",L3)))</formula>
    </cfRule>
  </conditionalFormatting>
  <conditionalFormatting sqref="M4:N4 P4">
    <cfRule type="containsText" dxfId="8" priority="18" operator="containsText" text="TBC">
      <formula>NOT(ISERROR(SEARCH("TBC",M4)))</formula>
    </cfRule>
  </conditionalFormatting>
  <conditionalFormatting sqref="L4">
    <cfRule type="containsText" dxfId="7" priority="17" operator="containsText" text="TBC">
      <formula>NOT(ISERROR(SEARCH("TBC",L4)))</formula>
    </cfRule>
  </conditionalFormatting>
  <conditionalFormatting sqref="Q3">
    <cfRule type="containsText" dxfId="6" priority="15" operator="containsText" text="TBC">
      <formula>NOT(ISERROR(SEARCH("TBC",Q3)))</formula>
    </cfRule>
  </conditionalFormatting>
  <conditionalFormatting sqref="R3">
    <cfRule type="containsText" dxfId="5" priority="14" operator="containsText" text="TBC">
      <formula>NOT(ISERROR(SEARCH("TBC",R3)))</formula>
    </cfRule>
  </conditionalFormatting>
  <conditionalFormatting sqref="O4">
    <cfRule type="containsText" dxfId="4" priority="13" operator="containsText" text="TBC">
      <formula>NOT(ISERROR(SEARCH("TBC",O4)))</formula>
    </cfRule>
  </conditionalFormatting>
  <conditionalFormatting sqref="A12:A16 T12:T16 K12:K16 D12:D16 V12:V16">
    <cfRule type="cellIs" dxfId="3" priority="4" operator="equal">
      <formula>"nom groupe n'existe pas"</formula>
    </cfRule>
  </conditionalFormatting>
  <conditionalFormatting sqref="A12:R12 T12:XFD12 A16:R16 T16:XFD16">
    <cfRule type="containsText" dxfId="2" priority="3" operator="containsText" text="TBC">
      <formula>NOT(ISERROR(SEARCH("TBC",A12)))</formula>
    </cfRule>
  </conditionalFormatting>
  <conditionalFormatting sqref="Q4">
    <cfRule type="containsText" dxfId="1" priority="2" operator="containsText" text="TBC">
      <formula>NOT(ISERROR(SEARCH("TBC",Q4)))</formula>
    </cfRule>
  </conditionalFormatting>
  <conditionalFormatting sqref="R4">
    <cfRule type="containsText" dxfId="0" priority="1" operator="containsText" text="TBC">
      <formula>NOT(ISERROR(SEARCH("TBC",R4)))</formula>
    </cfRule>
  </conditionalFormatting>
  <pageMargins left="0.19685039370078741" right="0.11811023622047245" top="0.19685039370078741" bottom="0.19685039370078741" header="0.31496062992125984" footer="0.31496062992125984"/>
  <pageSetup paperSize="8" scale="76" fitToHeight="0" orientation="landscape" r:id="rId1"/>
  <colBreaks count="1" manualBreakCount="1">
    <brk id="1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RemoveCarriageReturns">
                <anchor moveWithCells="1" sizeWithCells="1">
                  <from>
                    <xdr:col>22</xdr:col>
                    <xdr:colOff>1066800</xdr:colOff>
                    <xdr:row>1</xdr:row>
                    <xdr:rowOff>342900</xdr:rowOff>
                  </from>
                  <to>
                    <xdr:col>22</xdr:col>
                    <xdr:colOff>2743200</xdr:colOff>
                    <xdr:row>2</xdr:row>
                    <xdr:rowOff>495300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F15"/>
  <sheetViews>
    <sheetView workbookViewId="0">
      <selection activeCell="E22" sqref="E22"/>
    </sheetView>
  </sheetViews>
  <sheetFormatPr baseColWidth="10" defaultColWidth="11" defaultRowHeight="16" x14ac:dyDescent="0.2"/>
  <cols>
    <col min="1" max="1" width="13.1640625" style="33" bestFit="1" customWidth="1"/>
    <col min="2" max="2" width="3" style="33" bestFit="1" customWidth="1"/>
    <col min="3" max="3" width="14.1640625" style="33" bestFit="1" customWidth="1"/>
    <col min="4" max="4" width="20" style="33" bestFit="1" customWidth="1"/>
    <col min="5" max="5" width="37.83203125" style="33" bestFit="1" customWidth="1"/>
    <col min="6" max="6" width="100.33203125" style="33" customWidth="1"/>
    <col min="7" max="16384" width="11" style="33"/>
  </cols>
  <sheetData>
    <row r="1" spans="1:6" x14ac:dyDescent="0.2">
      <c r="A1" s="33" t="str">
        <f>'Courses individ'!C2</f>
        <v>Chauffeurs</v>
      </c>
      <c r="B1" s="34">
        <f>'Courses individ'!F2</f>
        <v>1</v>
      </c>
      <c r="C1" s="35" t="str">
        <f>TEXT('Courses individ'!H2,"aaaa-mm-jj") &amp; " " &amp; TEXT('Courses individ'!I2,"hh:mm")</f>
        <v>2018-07-14 11:00</v>
      </c>
      <c r="D1" s="33" t="str">
        <f>'Courses individ'!L2</f>
        <v>Production Artiste</v>
      </c>
      <c r="E1" s="33" t="str">
        <f>'Courses individ'!M2</f>
        <v>Production Artiste</v>
      </c>
      <c r="F1" s="33" t="str">
        <f xml:space="preserve"> IF(ISBLANK('Courses individ'!N2),"","Vol/Train: " &amp; 'Courses individ'!N2 &amp; " " &amp; 'Courses individ'!O2 &amp; ".\n") &amp; IF(ISBLANK('Courses individ'!P2),"","Bagages: " &amp; 'Courses individ'!P2 &amp; ".\n") &amp; IF(ISBLANK('Courses individ'!Q2),"","Contact: " &amp; 'Courses individ'!Q2 &amp; " " &amp; 'Courses individ'!R2 &amp; ".\n") &amp; IF(ISBLANK('Courses individ'!S2),"",'Courses individ'!S2 &amp; ".\n")</f>
        <v>Aller chercher les boissons secteurs..\n</v>
      </c>
    </row>
    <row r="2" spans="1:6" x14ac:dyDescent="0.2">
      <c r="A2" s="33" t="str">
        <f>'Courses individ'!C3</f>
        <v>Pro</v>
      </c>
      <c r="B2" s="34">
        <f>'Courses individ'!F3</f>
        <v>1</v>
      </c>
      <c r="C2" s="35" t="str">
        <f>TEXT('Courses individ'!H3,"aaaa-mm-jj") &amp; " " &amp; TEXT('Courses individ'!I3,"hh:mm")</f>
        <v>2018-07-14 11:00</v>
      </c>
      <c r="D2" s="33" t="str">
        <f>'Courses individ'!L3</f>
        <v>Production Artiste</v>
      </c>
      <c r="E2" s="33" t="str">
        <f>'Courses individ'!M3</f>
        <v>Production Artiste</v>
      </c>
      <c r="F2" s="33" t="str">
        <f xml:space="preserve"> IF(ISBLANK('Courses individ'!N3),"","Vol/Train: " &amp; 'Courses individ'!N3 &amp; " " &amp; 'Courses individ'!O3 &amp; ".\n") &amp; IF(ISBLANK('Courses individ'!P3),"","Bagages: " &amp; 'Courses individ'!P3 &amp; ".\n") &amp; IF(ISBLANK('Courses individ'!Q3),"","Contact: " &amp; 'Courses individ'!Q3 &amp; " " &amp; 'Courses individ'!R3 &amp; ".\n") &amp; IF(ISBLANK('Courses individ'!S3),"",'Courses individ'!S3 &amp; ".\n")</f>
        <v>Contact: Hélène +33 6 27 82 84 74.\n</v>
      </c>
    </row>
    <row r="3" spans="1:6" x14ac:dyDescent="0.2">
      <c r="A3" s="33" t="str">
        <f>'Courses individ'!C4</f>
        <v>Héléne Monnier</v>
      </c>
      <c r="B3" s="34">
        <f>'Courses individ'!F4</f>
        <v>1</v>
      </c>
      <c r="C3" s="35" t="str">
        <f>TEXT('Courses individ'!H4,"aaaa-mm-jj") &amp; " " &amp; TEXT('Courses individ'!I4,"hh:mm")</f>
        <v>2018-07-15 10:30</v>
      </c>
      <c r="D3" s="33" t="str">
        <f>'Courses individ'!L4</f>
        <v>Paléo (Production Artiste)</v>
      </c>
      <c r="E3" s="33" t="str">
        <f>'Courses individ'!M4</f>
        <v>Paléo (Production Artiste)</v>
      </c>
      <c r="F3" s="33" t="str">
        <f xml:space="preserve"> IF(ISBLANK('Courses individ'!N4),"","Vol/Train: " &amp; 'Courses individ'!N4 &amp; " " &amp; 'Courses individ'!O4 &amp; ".\n") &amp; IF(ISBLANK('Courses individ'!P4),"","Bagages: " &amp; 'Courses individ'!P4 &amp; ".\n") &amp; IF(ISBLANK('Courses individ'!Q4),"","Contact: " &amp; 'Courses individ'!Q4 &amp; " " &amp; 'Courses individ'!R4 &amp; ".\n") &amp; IF(ISBLANK('Courses individ'!S4),"",'Courses individ'!S4 &amp; ".\n")</f>
        <v>Contact: Hélène +33 6 27 82 84 74.\nUtilisation d'un utilitaire pour la journée.\n</v>
      </c>
    </row>
    <row r="4" spans="1:6" x14ac:dyDescent="0.2">
      <c r="A4" s="33" t="str">
        <f>'Courses individ'!C5</f>
        <v>Charlotte Cardin</v>
      </c>
      <c r="B4" s="34">
        <f>'Courses individ'!F5</f>
        <v>6</v>
      </c>
      <c r="C4" s="35" t="str">
        <f>TEXT('Courses individ'!H5,"aaaa-mm-jj") &amp; " " &amp; TEXT('Courses individ'!I5,"hh:mm")</f>
        <v>2018-07-15 12:00</v>
      </c>
      <c r="D4" s="33" t="str">
        <f>'Courses individ'!L5</f>
        <v>Gare de Nyon (côté Jura)</v>
      </c>
      <c r="E4" s="33" t="str">
        <f>'Courses individ'!M5</f>
        <v>Hôtel Chavannes</v>
      </c>
      <c r="F4" s="33" t="str">
        <f xml:space="preserve"> IF(ISBLANK('Courses individ'!N5),"","Vol/Train: " &amp; 'Courses individ'!N5 &amp; " " &amp; 'Courses individ'!O5 &amp; ".\n") &amp; IF(ISBLANK('Courses individ'!P5),"","Bagages: " &amp; 'Courses individ'!P5 &amp; ".\n") &amp; IF(ISBLANK('Courses individ'!Q5),"","Contact: " &amp; 'Courses individ'!Q5 &amp; " " &amp; 'Courses individ'!R5 &amp; ".\n") &amp; IF(ISBLANK('Courses individ'!S5),"",'Courses individ'!S5 &amp; ".\n")</f>
        <v>Bagages: tbc.\n</v>
      </c>
    </row>
    <row r="5" spans="1:6" x14ac:dyDescent="0.2">
      <c r="A5" s="33" t="str">
        <f>'Courses individ'!C6</f>
        <v>Depeche Mode</v>
      </c>
      <c r="B5" s="34">
        <f>'Courses individ'!F6</f>
        <v>21</v>
      </c>
      <c r="C5" s="35" t="str">
        <f>TEXT('Courses individ'!H6,"aaaa-mm-jj") &amp; " " &amp; TEXT('Courses individ'!I6,"hh:mm")</f>
        <v>2018-07-15 14:25</v>
      </c>
      <c r="D5" s="33" t="str">
        <f>'Courses individ'!L6</f>
        <v>GVA</v>
      </c>
      <c r="E5" s="33" t="str">
        <f>'Courses individ'!M6</f>
        <v>Hotel Kempinski, 19 Quai du Mont-Blanc, Genève</v>
      </c>
      <c r="F5" s="33" t="str">
        <f xml:space="preserve"> IF(ISBLANK('Courses individ'!N6),"","Vol/Train: " &amp; 'Courses individ'!N6 &amp; " " &amp; 'Courses individ'!O6 &amp; ".\n") &amp; IF(ISBLANK('Courses individ'!P6),"","Bagages: " &amp; 'Courses individ'!P6 &amp; ".\n") &amp; IF(ISBLANK('Courses individ'!Q6),"","Contact: " &amp; 'Courses individ'!Q6 &amp; " " &amp; 'Courses individ'!R6 &amp; ".\n") &amp; IF(ISBLANK('Courses individ'!S6),"",'Courses individ'!S6 &amp; ".\n")</f>
        <v>Bagages: 1 person luggage + hand luggage.\n4x Vito.\n</v>
      </c>
    </row>
    <row r="6" spans="1:6" x14ac:dyDescent="0.2">
      <c r="A6" s="33" t="str">
        <f>'Courses individ'!C7</f>
        <v>Peran</v>
      </c>
      <c r="B6" s="34">
        <f>'Courses individ'!F7</f>
        <v>1</v>
      </c>
      <c r="C6" s="35" t="str">
        <f>TEXT('Courses individ'!H7,"aaaa-mm-jj") &amp; " " &amp; TEXT('Courses individ'!I7,"hh:mm")</f>
        <v>2018-07-16 10:30</v>
      </c>
      <c r="D6" s="33" t="str">
        <f>'Courses individ'!L7</f>
        <v>GVA</v>
      </c>
      <c r="E6" s="33" t="str">
        <f>'Courses individ'!M7</f>
        <v>Hôtel Chavannes</v>
      </c>
      <c r="F6" s="33" t="str">
        <f xml:space="preserve"> IF(ISBLANK('Courses individ'!N7),"","Vol/Train: " &amp; 'Courses individ'!N7 &amp; " " &amp; 'Courses individ'!O7 &amp; ".\n") &amp; IF(ISBLANK('Courses individ'!P7),"","Bagages: " &amp; 'Courses individ'!P7 &amp; ".\n") &amp; IF(ISBLANK('Courses individ'!Q7),"","Contact: " &amp; 'Courses individ'!Q7 &amp; " " &amp; 'Courses individ'!R7 &amp; ".\n") &amp; IF(ISBLANK('Courses individ'!S7),"",'Courses individ'!S7 &amp; ".\n")</f>
        <v>Bagages: 1 bagage + 1 instrument.\nContact: Georgios Stamatis 0044 750 026 44 76.\n</v>
      </c>
    </row>
    <row r="7" spans="1:6" x14ac:dyDescent="0.2">
      <c r="A7" s="33" t="str">
        <f>'Courses individ'!C8</f>
        <v>Peran</v>
      </c>
      <c r="B7" s="34">
        <f>'Courses individ'!F8</f>
        <v>3</v>
      </c>
      <c r="C7" s="35" t="str">
        <f>TEXT('Courses individ'!H8,"aaaa-mm-jj") &amp; " " &amp; TEXT('Courses individ'!I8,"hh:mm")</f>
        <v>2018-07-16 11:15</v>
      </c>
      <c r="D7" s="33" t="str">
        <f>'Courses individ'!L8</f>
        <v>GVA</v>
      </c>
      <c r="E7" s="33" t="str">
        <f>'Courses individ'!M8</f>
        <v>Hôtel Chavannes</v>
      </c>
      <c r="F7" s="33" t="str">
        <f xml:space="preserve"> IF(ISBLANK('Courses individ'!N8),"","Vol/Train: " &amp; 'Courses individ'!N8 &amp; " " &amp; 'Courses individ'!O8 &amp; ".\n") &amp; IF(ISBLANK('Courses individ'!P8),"","Bagages: " &amp; 'Courses individ'!P8 &amp; ".\n") &amp; IF(ISBLANK('Courses individ'!Q8),"","Contact: " &amp; 'Courses individ'!Q8 &amp; " " &amp; 'Courses individ'!R8 &amp; ".\n") &amp; IF(ISBLANK('Courses individ'!S8),"",'Courses individ'!S8 &amp; ".\n")</f>
        <v>Bagages: 3 bagage + 2 instruments.\nContact: Nicola Cotsoglou, Laura Midgley, Utkan Kocak 447500264476.\nPonctuel please !!!.\n</v>
      </c>
    </row>
    <row r="8" spans="1:6" x14ac:dyDescent="0.2">
      <c r="A8" s="33" t="str">
        <f>'Courses individ'!C9</f>
        <v>Peran</v>
      </c>
      <c r="B8" s="34">
        <f>'Courses individ'!F9</f>
        <v>4</v>
      </c>
      <c r="C8" s="35" t="str">
        <f>TEXT('Courses individ'!H9,"aaaa-mm-jj") &amp; " " &amp; TEXT('Courses individ'!I9,"hh:mm")</f>
        <v>2018-07-16 16:00</v>
      </c>
      <c r="D8" s="33" t="str">
        <f>'Courses individ'!L9</f>
        <v>Hôtel Chavannes</v>
      </c>
      <c r="E8" s="33" t="str">
        <f>'Courses individ'!M9</f>
        <v>Paléo (Le Dôme)</v>
      </c>
      <c r="F8" s="33" t="str">
        <f xml:space="preserve"> IF(ISBLANK('Courses individ'!N9),"","Vol/Train: " &amp; 'Courses individ'!N9 &amp; " " &amp; 'Courses individ'!O9 &amp; ".\n") &amp; IF(ISBLANK('Courses individ'!P9),"","Bagages: " &amp; 'Courses individ'!P9 &amp; ".\n") &amp; IF(ISBLANK('Courses individ'!Q9),"","Contact: " &amp; 'Courses individ'!Q9 &amp; " " &amp; 'Courses individ'!R9 &amp; ".\n") &amp; IF(ISBLANK('Courses individ'!S9),"",'Courses individ'!S9 &amp; ".\n")</f>
        <v>Vol/Train: x x.\n</v>
      </c>
    </row>
    <row r="9" spans="1:6" x14ac:dyDescent="0.2">
      <c r="A9" s="33" t="str">
        <f>'Courses individ'!C10</f>
        <v>The Killers</v>
      </c>
      <c r="B9" s="34">
        <f>'Courses individ'!F10</f>
        <v>28</v>
      </c>
      <c r="C9" s="35" t="str">
        <f>TEXT('Courses individ'!H10,"aaaa-mm-jj") &amp; " " &amp; TEXT('Courses individ'!I10,"hh:mm")</f>
        <v>2018-07-16 16:45</v>
      </c>
      <c r="D9" s="33" t="str">
        <f>'Courses individ'!L10</f>
        <v>GVA</v>
      </c>
      <c r="E9" s="33" t="str">
        <f>'Courses individ'!M10</f>
        <v>Hôtel Crowne Plaza Geneva </v>
      </c>
      <c r="F9" s="33" t="str">
        <f xml:space="preserve"> IF(ISBLANK('Courses individ'!N10),"","Vol/Train: " &amp; 'Courses individ'!N10 &amp; " " &amp; 'Courses individ'!O10 &amp; ".\n") &amp; IF(ISBLANK('Courses individ'!P10),"","Bagages: " &amp; 'Courses individ'!P10 &amp; ".\n") &amp; IF(ISBLANK('Courses individ'!Q10),"","Contact: " &amp; 'Courses individ'!Q10 &amp; " " &amp; 'Courses individ'!R10 &amp; ".\n") &amp; IF(ISBLANK('Courses individ'!S10),"",'Courses individ'!S10 &amp; ".\n")</f>
        <v>Vol/Train: BA732 LHR.\n5 Vitos.\n</v>
      </c>
    </row>
    <row r="10" spans="1:6" x14ac:dyDescent="0.2">
      <c r="A10" s="33" t="str">
        <f>'Courses individ'!C11</f>
        <v>Bandakadabra</v>
      </c>
      <c r="B10" s="34">
        <f>'Courses individ'!F11</f>
        <v>2</v>
      </c>
      <c r="C10" s="35" t="str">
        <f>TEXT('Courses individ'!H11,"aaaa-mm-jj") &amp; " " &amp; TEXT('Courses individ'!I11,"hh:mm")</f>
        <v>2018-07-16 19:04</v>
      </c>
      <c r="D10" s="33" t="str">
        <f>'Courses individ'!L11</f>
        <v>Gare de Nyon (côte Jura)</v>
      </c>
      <c r="E10" s="33" t="str">
        <f>'Courses individ'!M11</f>
        <v>Paléo (La Ruche)</v>
      </c>
      <c r="F10" s="33" t="str">
        <f xml:space="preserve"> IF(ISBLANK('Courses individ'!N11),"","Vol/Train: " &amp; 'Courses individ'!N11 &amp; " " &amp; 'Courses individ'!O11 &amp; ".\n") &amp; IF(ISBLANK('Courses individ'!P11),"","Bagages: " &amp; 'Courses individ'!P11 &amp; ".\n") &amp; IF(ISBLANK('Courses individ'!Q11),"","Contact: " &amp; 'Courses individ'!Q11 &amp; " " &amp; 'Courses individ'!R11 &amp; ".\n") &amp; IF(ISBLANK('Courses individ'!S11),"",'Courses individ'!S11 &amp; ".\n")</f>
        <v>Vol/Train: n/a tbc.\nContact: Florence Ayrault +33682677287.\n</v>
      </c>
    </row>
    <row r="11" spans="1:6" x14ac:dyDescent="0.2">
      <c r="A11" s="33" t="str">
        <f>'Courses individ'!C12</f>
        <v>Depeche Mode</v>
      </c>
      <c r="B11" s="34">
        <f>'Courses individ'!F12</f>
        <v>2</v>
      </c>
      <c r="C11" s="35" t="str">
        <f>TEXT('Courses individ'!H12,"aaaa-mm-jj") &amp; " " &amp; TEXT('Courses individ'!I12,"hh:mm")</f>
        <v>2018-07-16 10:30</v>
      </c>
      <c r="D11" s="33" t="str">
        <f>'Courses individ'!L12</f>
        <v>GVA</v>
      </c>
      <c r="E11" s="33" t="str">
        <f>'Courses individ'!M12</f>
        <v>Hôtel Chavannes</v>
      </c>
      <c r="F11" s="33" t="str">
        <f xml:space="preserve"> IF(ISBLANK('Courses individ'!N12),"","Vol/Train: " &amp; 'Courses individ'!N12 &amp; " " &amp; 'Courses individ'!O12 &amp; ".\n") &amp; IF(ISBLANK('Courses individ'!P12),"","Bagages: " &amp; 'Courses individ'!P12 &amp; ".\n") &amp; IF(ISBLANK('Courses individ'!Q12),"","Contact: " &amp; 'Courses individ'!Q12 &amp; " " &amp; 'Courses individ'!R12 &amp; ".\n") &amp; IF(ISBLANK('Courses individ'!S12),"",'Courses individ'!S12 &amp; ".\n")</f>
        <v>Vol/Train: A3854 Athens.\nContact: Georgios Stamatis 0044 750 026 44 76.\nTel équipe Escale (0774202140) pour prévenir de leur arrivée au backstage Dôme pour accueil.\n</v>
      </c>
    </row>
    <row r="12" spans="1:6" x14ac:dyDescent="0.2">
      <c r="A12" s="33" t="str">
        <f>'Courses individ'!C13</f>
        <v>Depeche Mode</v>
      </c>
      <c r="B12" s="34">
        <f>'Courses individ'!F13</f>
        <v>3</v>
      </c>
      <c r="C12" s="35" t="str">
        <f>TEXT('Courses individ'!H13,"aaaa-mm-jj") &amp; " " &amp; TEXT('Courses individ'!I13,"hh:mm")</f>
        <v>2018-07-16 11:15</v>
      </c>
      <c r="D12" s="33" t="str">
        <f>'Courses individ'!L13</f>
        <v>GVA</v>
      </c>
      <c r="E12" s="33" t="str">
        <f>'Courses individ'!M13</f>
        <v>Hôtel Chavannes</v>
      </c>
      <c r="F12" s="33" t="str">
        <f xml:space="preserve"> IF(ISBLANK('Courses individ'!N13),"","Vol/Train: " &amp; 'Courses individ'!N13 &amp; " " &amp; 'Courses individ'!O13 &amp; ".\n") &amp; IF(ISBLANK('Courses individ'!P13),"","Bagages: " &amp; 'Courses individ'!P13 &amp; ".\n") &amp; IF(ISBLANK('Courses individ'!Q13),"","Contact: " &amp; 'Courses individ'!Q13 &amp; " " &amp; 'Courses individ'!R13 &amp; ".\n") &amp; IF(ISBLANK('Courses individ'!S13),"",'Courses individ'!S13 &amp; ".\n")</f>
        <v>Vol/Train: LX443 Londres.\nBagages: 3 bagage + 2 instruments.\n</v>
      </c>
    </row>
    <row r="13" spans="1:6" x14ac:dyDescent="0.2">
      <c r="A13" s="33" t="str">
        <f>'Courses individ'!C14</f>
        <v>Gorillaz</v>
      </c>
      <c r="B13" s="34">
        <f>'Courses individ'!F14</f>
        <v>3</v>
      </c>
      <c r="C13" s="35" t="str">
        <f>TEXT('Courses individ'!H14,"aaaa-mm-jj") &amp; " " &amp; TEXT('Courses individ'!I14,"hh:mm")</f>
        <v>2018-07-16 16:00</v>
      </c>
      <c r="D13" s="33" t="str">
        <f>'Courses individ'!L14</f>
        <v>Hôtel Chavannes</v>
      </c>
      <c r="E13" s="33" t="str">
        <f>'Courses individ'!M14</f>
        <v>Paléo (Le Dôme)</v>
      </c>
      <c r="F13" s="33" t="str">
        <f xml:space="preserve"> IF(ISBLANK('Courses individ'!N14),"","Vol/Train: " &amp; 'Courses individ'!N14 &amp; " " &amp; 'Courses individ'!O14 &amp; ".\n") &amp; IF(ISBLANK('Courses individ'!P14),"","Bagages: " &amp; 'Courses individ'!P14 &amp; ".\n") &amp; IF(ISBLANK('Courses individ'!Q14),"","Contact: " &amp; 'Courses individ'!Q14 &amp; " " &amp; 'Courses individ'!R14 &amp; ".\n") &amp; IF(ISBLANK('Courses individ'!S14),"",'Courses individ'!S14 &amp; ".\n")</f>
        <v>Vol/Train: x x.\nBagages: Petits sacs et 3 instruments.\nTel équipe Escale (0774202140) pour prévenir de leur arrivée au backstage Dôme pour accueil.\n</v>
      </c>
    </row>
    <row r="14" spans="1:6" x14ac:dyDescent="0.2">
      <c r="A14" s="33" t="str">
        <f>'Courses individ'!C15</f>
        <v>Brigitte</v>
      </c>
      <c r="B14" s="34">
        <f>'Courses individ'!F15</f>
        <v>2</v>
      </c>
      <c r="C14" s="35" t="str">
        <f>TEXT('Courses individ'!H15,"aaaa-mm-jj") &amp; " " &amp; TEXT('Courses individ'!I15,"hh:mm")</f>
        <v>2018-07-16 16:45</v>
      </c>
      <c r="D14" s="33" t="str">
        <f>'Courses individ'!L15</f>
        <v>GVA</v>
      </c>
      <c r="E14" s="33" t="str">
        <f>'Courses individ'!M15</f>
        <v>Hôtel Crowne Plaza Geneva </v>
      </c>
      <c r="F14" s="33" t="str">
        <f xml:space="preserve"> IF(ISBLANK('Courses individ'!N15),"","Vol/Train: " &amp; 'Courses individ'!N15 &amp; " " &amp; 'Courses individ'!O15 &amp; ".\n") &amp; IF(ISBLANK('Courses individ'!P15),"","Bagages: " &amp; 'Courses individ'!P15 &amp; ".\n") &amp; IF(ISBLANK('Courses individ'!Q15),"","Contact: " &amp; 'Courses individ'!Q15 &amp; " " &amp; 'Courses individ'!R15 &amp; ".\n") &amp; IF(ISBLANK('Courses individ'!S15),"",'Courses individ'!S15 &amp; ".\n")</f>
        <v>Vol/Train: BA732 LHR.\nBagages: personal luggage.\nContact: Georgios Stamatis 0044 750 026 44 76.\n</v>
      </c>
    </row>
    <row r="15" spans="1:6" x14ac:dyDescent="0.2">
      <c r="A15" s="33" t="str">
        <f>'Courses individ'!C16</f>
        <v>Jambo</v>
      </c>
      <c r="B15" s="34">
        <f>'Courses individ'!F16</f>
        <v>5</v>
      </c>
      <c r="C15" s="35" t="str">
        <f>TEXT('Courses individ'!H16,"aaaa-mm-jj") &amp; " " &amp; TEXT('Courses individ'!I16,"hh:mm")</f>
        <v>2018-07-16 19:04</v>
      </c>
      <c r="D15" s="33" t="str">
        <f>'Courses individ'!L16</f>
        <v>Gare de Nyon (côte Jura)</v>
      </c>
      <c r="E15" s="33" t="str">
        <f>'Courses individ'!M16</f>
        <v>Paléo (La Ruche)</v>
      </c>
      <c r="F15" s="33" t="str">
        <f xml:space="preserve"> IF(ISBLANK('Courses individ'!N16),"","Vol/Train: " &amp; 'Courses individ'!N16 &amp; " " &amp; 'Courses individ'!O16 &amp; ".\n") &amp; IF(ISBLANK('Courses individ'!P16),"","Bagages: " &amp; 'Courses individ'!P16 &amp; ".\n") &amp; IF(ISBLANK('Courses individ'!Q16),"","Contact: " &amp; 'Courses individ'!Q16 &amp; " " &amp; 'Courses individ'!R16 &amp; ".\n") &amp; IF(ISBLANK('Courses individ'!S16),"",'Courses individ'!S16 &amp; ".\n")</f>
        <v>Vol/Train: n/a tbc.\nBagages: 2 valises.\nContact: Florence Ayrault +33682677287.\n5 Vitos.\n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Courses individ</vt:lpstr>
      <vt:lpstr>Préparation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SPICHER</dc:creator>
  <cp:lastModifiedBy>Utilisateur de Microsoft Office</cp:lastModifiedBy>
  <dcterms:created xsi:type="dcterms:W3CDTF">2018-07-11T19:24:31Z</dcterms:created>
  <dcterms:modified xsi:type="dcterms:W3CDTF">2018-07-14T07:45:45Z</dcterms:modified>
</cp:coreProperties>
</file>